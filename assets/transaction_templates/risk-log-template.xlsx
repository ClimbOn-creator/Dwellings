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f190d4698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7c3c1903eea4d84"/>
    <x:sheet xmlns:r="http://schemas.openxmlformats.org/officeDocument/2006/relationships" name="Workspace" sheetId="2" r:id="R517a91ff2cee4fe5"/>
    <x:sheet xmlns:r="http://schemas.openxmlformats.org/officeDocument/2006/relationships" name="Guidance" sheetId="3" r:id="R015cd8e5e081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</x:numFmts>
  <x:fonts count="30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0"/>
      <x:color rgb="FF182230"/>
      <x:name val="Arial"/>
    </x:font>
    <x:font>
      <x:b/>
      <x:sz val="15"/>
      <x:color rgb="FF0D1B2A"/>
      <x:name val="Arial"/>
    </x:font>
    <x:font>
      <x:i/>
      <x:sz val="9"/>
      <x:color rgb="FF64748B"/>
      <x:name val="Arial"/>
    </x:font>
    <x:font>
      <x:sz val="9"/>
      <x:color rgb="FF182230"/>
      <x:name val="Arial"/>
    </x:font>
    <x:font>
      <x:b/>
      <x:sz val="18"/>
      <x:color rgb="FFFFFFFF"/>
      <x:name val="Arial"/>
    </x:font>
    <x:font>
      <x:sz val="11"/>
      <x:color rgb="FF182230"/>
      <x:name val="Arial"/>
    </x:font>
    <x:font>
      <x:sz val="9"/>
      <x:color rgb="FF1D4ED8"/>
      <x:name val="Arial"/>
    </x:font>
    <x:font>
      <x:b/>
      <x:sz val="10"/>
      <x:color rgb="FF1D4ED8"/>
      <x:name val="Arial"/>
    </x:font>
    <x:font>
      <x:b/>
      <x:sz val="9"/>
      <x:color rgb="FF182230"/>
      <x:name val="Arial"/>
    </x:font>
    <x:font>
      <x:sz val="8"/>
      <x:color rgb="FF1D4ED8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FFF4CC"/>
      </x:patternFill>
    </x:fill>
    <x:fill>
      <x:patternFill patternType="solid">
        <x:fgColor rgb="FF0D1B2A"/>
      </x:patternFill>
    </x:fill>
    <x:fill>
      <x:patternFill patternType="solid">
        <x:fgColor rgb="FFEEF5FF"/>
      </x:patternFill>
    </x:fill>
  </x:fills>
  <x:borders count="19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  <x:border>
      <x:bottom style="medium">
        <x:color rgb="FF0D1B2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</x:borders>
  <x:cellStyleXfs count="1">
    <x:xf numFmtId="0" fontId="0" fillId="0" borderId="0"/>
  </x:cellStyleXfs>
  <x:cellXfs count="139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2" fillId="0" borderId="0" xfId="0" applyNumberFormat="1" applyFont="1" applyFill="1" applyBorder="1"/>
    <x:xf numFmtId="0" fontId="20" fillId="0" borderId="14" xfId="0" applyNumberFormat="1" applyFont="1" applyFill="1" applyBorder="1"/>
    <x:xf numFmtId="0" fontId="20" fillId="13" borderId="0" xfId="0" applyNumberFormat="1" applyFont="1" applyFill="1" applyBorder="1"/>
    <x:xf numFmtId="0" fontId="7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20" fillId="14" borderId="0" xfId="0" applyNumberFormat="1" applyFont="1" applyFill="1" applyBorder="1"/>
    <x:xf numFmtId="0" fontId="23" fillId="14" borderId="0" xfId="0" applyNumberFormat="1" applyFont="1" applyFill="1" applyBorder="1"/>
    <x:xf numFmtId="0" fontId="23" fillId="14" borderId="0" xfId="0" applyNumberFormat="1" applyFont="1" applyFill="1" applyBorder="1" applyAlignment="1">
      <x:alignment wrapText="1"/>
    </x:xf>
    <x:xf numFmtId="0" fontId="20" fillId="15" borderId="0" xfId="0" applyNumberFormat="1" applyFont="1" applyFill="1" applyBorder="1"/>
    <x:xf numFmtId="0" fontId="24" fillId="15" borderId="0" xfId="0" applyNumberFormat="1" applyFont="1" applyFill="1" applyBorder="1"/>
    <x:xf numFmtId="0" fontId="24" fillId="15" borderId="0" xfId="0" applyNumberFormat="1" applyFont="1" applyFill="1" applyBorder="1" applyAlignment="1">
      <x:alignment horizontal="left"/>
    </x:xf>
    <x:xf numFmtId="0" fontId="24" fillId="15" borderId="0" xfId="0" applyNumberFormat="1" applyFont="1" applyFill="1" applyBorder="1" applyAlignment="1">
      <x:alignment horizontal="left" vertical="center"/>
    </x:xf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vertical="center"/>
    </x:xf>
    <x:xf numFmtId="0" fontId="20" fillId="16" borderId="0" xfId="0" applyNumberFormat="1" applyFont="1" applyFill="1" applyBorder="1"/>
    <x:xf numFmtId="0" fontId="25" fillId="16" borderId="0" xfId="0" applyNumberFormat="1" applyFont="1" applyFill="1" applyBorder="1"/>
    <x:xf numFmtId="0" fontId="25" fillId="16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/>
    <x:xf numFmtId="0" fontId="5" fillId="13" borderId="15" xfId="0" applyNumberFormat="1" applyFont="1" applyFill="1" applyBorder="1"/>
    <x:xf numFmtId="0" fontId="5" fillId="13" borderId="16" xfId="0" applyNumberFormat="1" applyFont="1" applyFill="1" applyBorder="1"/>
    <x:xf numFmtId="0" fontId="5" fillId="13" borderId="17" xfId="0" applyNumberFormat="1" applyFont="1" applyFill="1" applyBorder="1"/>
    <x:xf numFmtId="0" fontId="5" fillId="13" borderId="15" xfId="0" applyNumberFormat="1" applyFont="1" applyFill="1" applyBorder="1" applyAlignment="1">
      <x:alignment wrapText="1"/>
    </x:xf>
    <x:xf numFmtId="0" fontId="5" fillId="13" borderId="16" xfId="0" applyNumberFormat="1" applyFont="1" applyFill="1" applyBorder="1" applyAlignment="1">
      <x:alignment wrapText="1"/>
    </x:xf>
    <x:xf numFmtId="0" fontId="5" fillId="13" borderId="17" xfId="0" applyNumberFormat="1" applyFont="1" applyFill="1" applyBorder="1" applyAlignment="1">
      <x:alignment wrapText="1"/>
    </x:xf>
    <x:xf numFmtId="0" fontId="5" fillId="13" borderId="15" xfId="0" applyNumberFormat="1" applyFont="1" applyFill="1" applyBorder="1" applyAlignment="1">
      <x:alignment horizontal="center" wrapText="1"/>
    </x:xf>
    <x:xf numFmtId="0" fontId="5" fillId="13" borderId="16" xfId="0" applyNumberFormat="1" applyFont="1" applyFill="1" applyBorder="1" applyAlignment="1">
      <x:alignment horizontal="center" wrapText="1"/>
    </x:xf>
    <x:xf numFmtId="0" fontId="5" fillId="13" borderId="17" xfId="0" applyNumberFormat="1" applyFont="1" applyFill="1" applyBorder="1" applyAlignment="1">
      <x:alignment horizontal="center" wrapText="1"/>
    </x:xf>
    <x:xf numFmtId="0" fontId="5" fillId="13" borderId="15" xfId="0" applyNumberFormat="1" applyFont="1" applyFill="1" applyBorder="1" applyAlignment="1">
      <x:alignment horizontal="center" vertical="center" wrapText="1"/>
    </x:xf>
    <x:xf numFmtId="0" fontId="5" fillId="13" borderId="16" xfId="0" applyNumberFormat="1" applyFont="1" applyFill="1" applyBorder="1" applyAlignment="1">
      <x:alignment horizontal="center" vertical="center" wrapText="1"/>
    </x:xf>
    <x:xf numFmtId="0" fontId="5" fillId="13" borderId="17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borderId="18" xfId="0" applyNumberFormat="1" applyFont="1" applyFill="1" applyBorder="1"/>
    <x:xf numFmtId="0" fontId="23" fillId="0" borderId="0" xfId="0" applyNumberFormat="1" applyFont="1" applyFill="1" applyBorder="1" applyAlignment="1">
      <x:alignment wrapText="1"/>
    </x:xf>
    <x:xf numFmtId="0" fontId="23" fillId="0" borderId="18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vertical="top" wrapText="1"/>
    </x:xf>
    <x:xf numFmtId="0" fontId="23" fillId="0" borderId="18" xfId="0" applyNumberFormat="1" applyFont="1" applyFill="1" applyBorder="1" applyAlignment="1">
      <x:alignment vertical="top" wrapText="1"/>
    </x:xf>
    <x:xf numFmtId="0" fontId="23" fillId="14" borderId="0" xfId="0" applyNumberFormat="1" applyFont="1" applyFill="1" applyBorder="1" applyAlignment="1">
      <x:alignment vertical="top" wrapText="1"/>
    </x:xf>
    <x:xf numFmtId="0" fontId="23" fillId="14" borderId="18" xfId="0" applyNumberFormat="1" applyFont="1" applyFill="1" applyBorder="1" applyAlignment="1">
      <x:alignment vertical="top" wrapText="1"/>
    </x:xf>
    <x:xf numFmtId="0" fontId="26" fillId="14" borderId="0" xfId="0" applyNumberFormat="1" applyFont="1" applyFill="1" applyBorder="1" applyAlignment="1">
      <x:alignment vertical="top" wrapText="1"/>
    </x:xf>
    <x:xf numFmtId="0" fontId="26" fillId="14" borderId="18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0" xfId="0" applyNumberFormat="1" applyFont="1" applyFill="1" applyBorder="1" applyAlignment="1">
      <x:alignment horizontal="center"/>
    </x:xf>
    <x:xf numFmtId="0" fontId="20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/>
    <x:xf numFmtId="0" fontId="29" fillId="0" borderId="0" xfId="0" applyNumberFormat="1" applyFont="1" applyFill="1" applyBorder="1"/>
    <x:xf numFmtId="0" fontId="28" fillId="0" borderId="0" xfId="0" applyNumberFormat="1" applyFont="1" applyFill="1" applyBorder="1" applyAlignment="1">
      <x:alignment wrapText="1"/>
    </x:xf>
    <x:xf numFmtId="0" fontId="29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7405aa49d4bd6" /><Relationship Type="http://schemas.openxmlformats.org/officeDocument/2006/relationships/theme" Target="/xl/theme/theme1.xml" Id="R05359f5852ad4ec2" /><Relationship Type="http://schemas.openxmlformats.org/officeDocument/2006/relationships/sharedStrings" Target="/xl/sharedStrings.xml" Id="R4edea59249a941c1" /><Relationship Type="http://schemas.openxmlformats.org/officeDocument/2006/relationships/worksheet" Target="/xl/worksheets/sheet1.xml" Id="R57c3c1903eea4d84" /><Relationship Type="http://schemas.openxmlformats.org/officeDocument/2006/relationships/worksheet" Target="/xl/worksheets/sheet2.xml" Id="R517a91ff2cee4fe5" /><Relationship Type="http://schemas.openxmlformats.org/officeDocument/2006/relationships/worksheet" Target="/xl/worksheets/sheet3.xml" Id="R015cd8e5e081452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.5" style="27" hidden="0" customWidth="1"/>
    <x:col min="2" max="2" width="23" style="27" hidden="0" customWidth="1"/>
    <x:col min="3" max="5" width="11" style="27" customWidth="1"/>
    <x:col min="6" max="17" width="13" style="27" customWidth="1"/>
    <x:col min="18" max="16384" width="8.83203125" style="27" customWidth="0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4" customHeight="1">
      <x:c r="A2" s="89"/>
      <x:c r="B2" s="90" t="str">
        <x:v>Due Diligence Findings and Decision Log</x:v>
      </x:c>
      <x:c r="C2" s="90"/>
      <x:c r="D2" s="90"/>
      <x:c r="E2" s="90"/>
      <x:c r="F2" s="90"/>
      <x:c r="G2" s="90"/>
      <x:c r="H2" s="90"/>
      <x:c r="I2" s="89"/>
      <x:c r="J2" s="94" t="str">
        <x:v>RISK AND DECISION CONTROL</x:v>
      </x:c>
      <x:c r="K2" s="94"/>
      <x:c r="L2" s="94"/>
      <x:c r="M2" s="94"/>
      <x:c r="N2" s="94"/>
      <x:c r="O2"/>
      <x:c r="P2"/>
      <x:c r="Q2"/>
    </x:row>
    <x:row r="3" ht="24" customHeight="1">
      <x:c r="A3" s="89"/>
      <x:c r="B3" s="91" t="str">
        <x:v>Editable blank template · complete yellow cells</x:v>
      </x:c>
      <x:c r="C3" s="91"/>
      <x:c r="D3" s="91"/>
      <x:c r="E3" s="91"/>
      <x:c r="F3" s="91"/>
      <x:c r="G3" s="91"/>
      <x:c r="H3" s="91"/>
      <x:c r="I3" s="89"/>
      <x:c r="J3" s="96" t="str">
        <x:v>Template — replace placeholders and attach evidence</x:v>
      </x:c>
      <x:c r="K3" s="96"/>
      <x:c r="L3" s="96"/>
      <x:c r="M3" s="96"/>
      <x:c r="N3" s="96"/>
      <x:c r="O3"/>
      <x:c r="P3"/>
      <x:c r="Q3"/>
    </x:row>
    <x:row r="4" ht="20" customHeight="1">
      <x:c r="A4" s="89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/>
      <x:c r="P4"/>
      <x:c r="Q4"/>
    </x:row>
    <x:row r="5" ht="20" customHeight="1">
      <x:c r="A5" s="89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/>
      <x:c r="P5"/>
      <x:c r="Q5"/>
    </x:row>
    <x:row r="6" ht="32" customHeight="1">
      <x:c r="A6" s="89"/>
      <x:c r="B6" s="99" t="str">
        <x:v>Use yellow cells for entries. Formula cells update automatically. This workbook is preparation material, not professional advice or approval.</x:v>
      </x:c>
      <x:c r="C6" s="99"/>
      <x:c r="D6" s="99"/>
      <x:c r="E6" s="99"/>
      <x:c r="F6" s="99"/>
      <x:c r="G6" s="99"/>
      <x:c r="H6" s="99"/>
      <x:c r="I6" s="99"/>
      <x:c r="J6" s="99"/>
      <x:c r="K6" s="99"/>
      <x:c r="L6" s="99"/>
      <x:c r="M6" s="99"/>
      <x:c r="N6" s="99"/>
      <x:c r="O6"/>
      <x:c r="P6"/>
      <x:c r="Q6"/>
    </x:row>
    <x:row r="7" ht="27" customHeight="1">
      <x:c r="A7" s="89"/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/>
      <x:c r="P7"/>
      <x:c r="Q7"/>
    </x:row>
    <x:row r="8" ht="20" customHeight="1">
      <x:c r="A8" s="89"/>
      <x:c r="B8" s="94" t="str">
        <x:v>OPEN FINDINGS</x:v>
      </x:c>
      <x:c r="C8" s="94"/>
      <x:c r="D8" s="94"/>
      <x:c r="E8" s="94"/>
      <x:c r="F8" s="94" t="str">
        <x:v>HIGH IMPACT</x:v>
      </x:c>
      <x:c r="G8" s="94"/>
      <x:c r="H8" s="94"/>
      <x:c r="I8" s="94"/>
      <x:c r="J8" s="94" t="str">
        <x:v>CLOSED</x:v>
      </x:c>
      <x:c r="K8" s="94"/>
      <x:c r="L8" s="94"/>
      <x:c r="M8" s="94"/>
      <x:c r="N8" s="89"/>
      <x:c r="O8"/>
      <x:c r="P8"/>
      <x:c r="Q8"/>
    </x:row>
    <x:row r="9">
      <x:c r="A9" s="89"/>
      <x:c r="B9" s="103" t="n">
        <x:f>COUNTIF(Workspace!L6:L35,"Open")</x:f>
        <x:v>30</x:v>
      </x:c>
      <x:c r="C9" s="103"/>
      <x:c r="D9" s="103"/>
      <x:c r="E9" s="103"/>
      <x:c r="F9" s="103" t="n">
        <x:f>COUNTIF(Workspace!G6:G35,"High")</x:f>
        <x:v>0</x:v>
      </x:c>
      <x:c r="G9" s="103"/>
      <x:c r="H9" s="103"/>
      <x:c r="I9" s="103"/>
      <x:c r="J9" s="103" t="n">
        <x:f>COUNTIF(Workspace!L6:L35,"Closed")</x:f>
        <x:v>0</x:v>
      </x:c>
      <x:c r="K9" s="103"/>
      <x:c r="L9" s="103"/>
      <x:c r="M9" s="103"/>
      <x:c r="N9" s="89"/>
      <x:c r="O9"/>
      <x:c r="P9"/>
      <x:c r="Q9"/>
    </x:row>
    <x:row r="10" ht="20" customHeight="1">
      <x:c r="A10" s="89"/>
      <x:c r="B10" s="103"/>
      <x:c r="C10" s="103"/>
      <x:c r="D10" s="103"/>
      <x:c r="E10" s="103"/>
      <x:c r="F10" s="103"/>
      <x:c r="G10" s="103"/>
      <x:c r="H10" s="103"/>
      <x:c r="I10" s="103"/>
      <x:c r="J10" s="103"/>
      <x:c r="K10" s="103"/>
      <x:c r="L10" s="103"/>
      <x:c r="M10" s="103"/>
      <x:c r="N10" s="89"/>
      <x:c r="O10"/>
      <x:c r="P10"/>
      <x:c r="Q10"/>
    </x:row>
    <x:row r="11" ht="27" customHeight="1">
      <x:c r="A11" s="89"/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89"/>
      <x:c r="O11"/>
      <x:c r="P11"/>
      <x:c r="Q11"/>
    </x:row>
    <x:row r="12" ht="27" customHeight="1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/>
      <x:c r="P12"/>
      <x:c r="Q12"/>
    </x:row>
    <x:row r="13" ht="20" customHeight="1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/>
      <x:c r="P13"/>
      <x:c r="Q13"/>
    </x:row>
    <x:row r="14" ht="23" customHeight="1">
      <x:c r="A14" s="89"/>
      <x:c r="B14" s="105" t="str">
        <x:v>Decision rules</x:v>
      </x:c>
      <x:c r="C14" s="105"/>
      <x:c r="D14" s="105"/>
      <x:c r="E14" s="105"/>
      <x:c r="F14" s="105"/>
      <x:c r="G14" s="105"/>
      <x:c r="H14" s="105"/>
      <x:c r="I14" s="105"/>
      <x:c r="J14" s="105"/>
      <x:c r="K14" s="105"/>
      <x:c r="L14" s="105"/>
      <x:c r="M14" s="105"/>
      <x:c r="N14" s="89"/>
      <x:c r="O14"/>
      <x:c r="P14"/>
      <x:c r="Q14"/>
    </x:row>
    <x:row r="15" ht="22" customHeight="1">
      <x:c r="A15" s="89"/>
      <x:c r="B15" s="108" t="str">
        <x:v>Record the evidence, likelihood, impact, owner, deadline and decision for each finding. Close an item only when the completion evidence is identified.</x:v>
      </x:c>
      <x:c r="C15" s="108"/>
      <x:c r="D15" s="108"/>
      <x:c r="E15" s="108"/>
      <x:c r="F15" s="108"/>
      <x:c r="G15" s="108"/>
      <x:c r="H15" s="108"/>
      <x:c r="I15" s="108"/>
      <x:c r="J15" s="108"/>
      <x:c r="K15" s="108"/>
      <x:c r="L15" s="108"/>
      <x:c r="M15" s="108"/>
      <x:c r="N15" s="89"/>
      <x:c r="O15"/>
      <x:c r="P15"/>
      <x:c r="Q15"/>
    </x:row>
    <x:row r="16">
      <x:c r="A16" s="89"/>
      <x:c r="B16" s="108"/>
      <x:c r="C16" s="108"/>
      <x:c r="D16" s="108"/>
      <x:c r="E16" s="108"/>
      <x:c r="F16" s="108"/>
      <x:c r="G16" s="108"/>
      <x:c r="H16" s="108"/>
      <x:c r="I16" s="108"/>
      <x:c r="J16" s="108"/>
      <x:c r="K16" s="108"/>
      <x:c r="L16" s="108"/>
      <x:c r="M16" s="108"/>
      <x:c r="N16" s="89"/>
      <x:c r="O16"/>
      <x:c r="P16"/>
      <x:c r="Q16"/>
    </x:row>
    <x:row r="17">
      <x:c r="A17" s="89"/>
      <x:c r="B17" s="108"/>
      <x:c r="C17" s="108"/>
      <x:c r="D17" s="108"/>
      <x:c r="E17" s="108"/>
      <x:c r="F17" s="108"/>
      <x:c r="G17" s="108"/>
      <x:c r="H17" s="108"/>
      <x:c r="I17" s="108"/>
      <x:c r="J17" s="108"/>
      <x:c r="K17" s="108"/>
      <x:c r="L17" s="108"/>
      <x:c r="M17" s="108"/>
      <x:c r="N17" s="89"/>
      <x:c r="O17"/>
      <x:c r="P17"/>
      <x:c r="Q17"/>
    </x:row>
    <x:row r="18">
      <x:c r="A18" s="89"/>
      <x:c r="B18" s="108"/>
      <x:c r="C18" s="108"/>
      <x:c r="D18" s="108"/>
      <x:c r="E18" s="108"/>
      <x:c r="F18" s="108"/>
      <x:c r="G18" s="108"/>
      <x:c r="H18" s="108"/>
      <x:c r="I18" s="108"/>
      <x:c r="J18" s="108"/>
      <x:c r="K18" s="108"/>
      <x:c r="L18" s="108"/>
      <x:c r="M18" s="108"/>
      <x:c r="N18" s="89"/>
      <x:c r="O18"/>
      <x:c r="P18"/>
      <x:c r="Q18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/>
      <x:c r="P19"/>
      <x:c r="Q1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/>
      <x:c r="P20"/>
      <x:c r="Q20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/>
      <x:c r="P21"/>
      <x:c r="Q21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/>
      <x:c r="P22"/>
      <x:c r="Q22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/>
      <x:c r="P23"/>
      <x:c r="Q23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/>
      <x:c r="P24"/>
      <x:c r="Q24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/>
      <x:c r="P25"/>
      <x:c r="Q25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/>
      <x:c r="P26"/>
      <x:c r="Q26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/>
      <x:c r="P27"/>
      <x:c r="Q27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/>
      <x:c r="P28"/>
      <x:c r="Q28"/>
    </x:row>
    <x:row r="29" ht="22" customHeight="1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/>
      <x:c r="P29"/>
      <x:c r="Q2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/>
      <x:c r="P30"/>
      <x:c r="Q30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/>
      <x:c r="P31"/>
      <x:c r="Q31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/>
      <x:c r="P32"/>
      <x:c r="Q32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/>
      <x:c r="P33"/>
      <x:c r="Q33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/>
      <x:c r="P34"/>
      <x:c r="Q34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/>
      <x:c r="P35"/>
      <x:c r="Q35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/>
      <x:c r="P36"/>
      <x:c r="Q36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/>
      <x:c r="P37"/>
      <x:c r="Q37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/>
      <x:c r="P38"/>
      <x:c r="Q38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/>
      <x:c r="P39"/>
      <x:c r="Q3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/>
      <x:c r="P40"/>
      <x:c r="Q40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/>
      <x:c r="P41"/>
      <x:c r="Q41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/>
      <x:c r="P42"/>
      <x:c r="Q42"/>
    </x:row>
    <x:row r="43" ht="22" customHeight="1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/>
      <x:c r="P43"/>
      <x:c r="Q43"/>
    </x:row>
    <x:row r="44" ht="26" customHeight="1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/>
      <x:c r="P44"/>
      <x:c r="Q44"/>
    </x:row>
    <x:row r="45">
      <x:c r="A45" s="89"/>
      <x:c r="B45" s="89"/>
      <x:c r="C45" s="89"/>
      <x:c r="D45" s="89"/>
      <x:c r="E45" s="89"/>
      <x:c r="F45" s="89">
        <x:f t="shared" ref="F45:F52" si="0">D45-E45</x:f>
      </x:c>
      <x:c r="G45" s="89">
        <x:f t="shared" ref="G45:G52" si="1">IFERROR(D45/E45-1,"")</x:f>
      </x:c>
      <x:c r="H45" s="89"/>
      <x:c r="I45" s="89"/>
      <x:c r="J45" s="89"/>
      <x:c r="K45" s="89"/>
      <x:c r="L45" s="89"/>
      <x:c r="M45" s="89"/>
      <x:c r="N45" s="89"/>
      <x:c r="O45"/>
      <x:c r="P45"/>
      <x:c r="Q45"/>
    </x:row>
    <x:row r="46">
      <x:c r="A46" s="89"/>
      <x:c r="B46" s="89"/>
      <x:c r="C46" s="89"/>
      <x:c r="D46" s="89"/>
      <x:c r="E46" s="89"/>
      <x:c r="F46" s="89">
        <x:f t="shared" si="0"/>
      </x:c>
      <x:c r="G46" s="89">
        <x:f t="shared" si="1"/>
      </x:c>
      <x:c r="H46" s="89"/>
      <x:c r="I46" s="89"/>
      <x:c r="J46" s="89"/>
      <x:c r="K46" s="89"/>
      <x:c r="L46" s="89"/>
      <x:c r="M46" s="89"/>
      <x:c r="N46" s="89"/>
      <x:c r="O46"/>
      <x:c r="P46"/>
      <x:c r="Q46"/>
    </x:row>
    <x:row r="47">
      <x:c r="A47" s="89"/>
      <x:c r="B47" s="89"/>
      <x:c r="C47" s="89"/>
      <x:c r="D47" s="89"/>
      <x:c r="E47" s="89"/>
      <x:c r="F47" s="89">
        <x:f t="shared" si="0"/>
      </x:c>
      <x:c r="G47" s="89">
        <x:f t="shared" si="1"/>
      </x:c>
      <x:c r="H47" s="89"/>
      <x:c r="I47" s="89"/>
      <x:c r="J47" s="89"/>
      <x:c r="K47" s="89"/>
      <x:c r="L47" s="89"/>
      <x:c r="M47" s="89"/>
      <x:c r="N47" s="89"/>
      <x:c r="O47"/>
      <x:c r="P47"/>
      <x:c r="Q47"/>
    </x:row>
    <x:row r="48">
      <x:c r="A48" s="89"/>
      <x:c r="B48" s="89"/>
      <x:c r="C48" s="89"/>
      <x:c r="D48" s="89"/>
      <x:c r="E48" s="89"/>
      <x:c r="F48" s="89">
        <x:f t="shared" si="0"/>
      </x:c>
      <x:c r="G48" s="89">
        <x:f t="shared" si="1"/>
      </x:c>
      <x:c r="H48" s="89"/>
      <x:c r="I48" s="89"/>
      <x:c r="J48" s="89"/>
      <x:c r="K48" s="89"/>
      <x:c r="L48" s="89"/>
      <x:c r="M48" s="89"/>
      <x:c r="N48" s="89"/>
      <x:c r="O48"/>
      <x:c r="P48"/>
      <x:c r="Q48"/>
    </x:row>
    <x:row r="49">
      <x:c r="A49" s="89"/>
      <x:c r="B49" s="89"/>
      <x:c r="C49" s="89"/>
      <x:c r="D49" s="89"/>
      <x:c r="E49" s="89"/>
      <x:c r="F49" s="89">
        <x:f t="shared" si="0"/>
      </x:c>
      <x:c r="G49" s="89">
        <x:f t="shared" si="1"/>
      </x:c>
      <x:c r="H49" s="89"/>
      <x:c r="I49" s="89"/>
      <x:c r="J49" s="89"/>
      <x:c r="K49" s="89"/>
      <x:c r="L49" s="89"/>
      <x:c r="M49" s="89"/>
      <x:c r="N49" s="89"/>
      <x:c r="O49"/>
      <x:c r="P49"/>
      <x:c r="Q49"/>
    </x:row>
    <x:row r="50">
      <x:c r="A50" s="89"/>
      <x:c r="B50" s="89"/>
      <x:c r="C50" s="89"/>
      <x:c r="D50" s="89"/>
      <x:c r="E50" s="89"/>
      <x:c r="F50" s="89">
        <x:f t="shared" si="0"/>
      </x:c>
      <x:c r="G50" s="89">
        <x:f t="shared" si="1"/>
      </x:c>
      <x:c r="H50" s="89"/>
      <x:c r="I50" s="89"/>
      <x:c r="J50" s="89"/>
      <x:c r="K50" s="89"/>
      <x:c r="L50" s="89"/>
      <x:c r="M50" s="89"/>
      <x:c r="N50" s="89"/>
      <x:c r="O50"/>
      <x:c r="P50"/>
      <x:c r="Q50"/>
    </x:row>
    <x:row r="51">
      <x:c r="A51" s="89"/>
      <x:c r="B51" s="89"/>
      <x:c r="C51" s="89"/>
      <x:c r="D51" s="89"/>
      <x:c r="E51" s="89"/>
      <x:c r="F51" s="89">
        <x:f t="shared" si="0"/>
      </x:c>
      <x:c r="G51" s="89">
        <x:f t="shared" si="1"/>
      </x:c>
      <x:c r="H51" s="89"/>
      <x:c r="I51" s="89"/>
      <x:c r="J51" s="89"/>
      <x:c r="K51" s="89"/>
      <x:c r="L51" s="89"/>
      <x:c r="M51" s="89"/>
      <x:c r="N51" s="89"/>
      <x:c r="O51"/>
      <x:c r="P51"/>
      <x:c r="Q51"/>
    </x:row>
    <x:row r="52">
      <x:c r="A52" s="89"/>
      <x:c r="B52" s="89"/>
      <x:c r="C52" s="89"/>
      <x:c r="D52" s="89"/>
      <x:c r="E52" s="89"/>
      <x:c r="F52" s="89">
        <x:f t="shared" si="0"/>
      </x:c>
      <x:c r="G52" s="89">
        <x:f t="shared" si="1"/>
      </x:c>
      <x:c r="H52" s="89"/>
      <x:c r="I52" s="89"/>
      <x:c r="J52" s="89"/>
      <x:c r="K52" s="89"/>
      <x:c r="L52" s="89"/>
      <x:c r="M52" s="89"/>
      <x:c r="N52" s="89"/>
      <x:c r="O52"/>
      <x:c r="P52"/>
      <x:c r="Q52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/>
      <x:c r="P53"/>
      <x:c r="Q53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  <x:mergeCell ref="B2:H2"/>
    <x:mergeCell ref="B3:H3"/>
    <x:mergeCell ref="J2:N2"/>
    <x:mergeCell ref="J3:N3"/>
    <x:mergeCell ref="B6:N6"/>
    <x:mergeCell ref="B8:E8"/>
    <x:mergeCell ref="F8:I8"/>
    <x:mergeCell ref="J8:M8"/>
    <x:mergeCell ref="B14:M14"/>
    <x:mergeCell ref="B15:M18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10" defaultColWidth="8.83203125" defaultRowHeight="14"/>
  <x:cols>
    <x:col min="1" max="1" width="2.5" style="27" hidden="0" customWidth="1"/>
    <x:col min="2" max="4" width="15" style="27" customWidth="1"/>
    <x:col min="5" max="5" width="30" style="27" hidden="0" customWidth="1"/>
    <x:col min="6" max="6" width="14" style="27" hidden="0" customWidth="1"/>
    <x:col min="7" max="8" width="15" style="27" customWidth="1"/>
    <x:col min="9" max="9" width="16" style="27" hidden="0" customWidth="1"/>
    <x:col min="10" max="10" width="14" style="27" hidden="0" customWidth="1"/>
    <x:col min="11" max="11" width="30" style="27" hidden="0" customWidth="1"/>
    <x:col min="12" max="15" width="16" style="27" customWidth="1"/>
    <x:col min="16" max="16" width="15" style="27" customWidth="1"/>
    <x:col min="17" max="16384" width="8.83203125" style="27" customWidth="0"/>
    <x:col min="2" max="2" width="12" hidden="0" customWidth="1"/>
    <x:col min="3" max="3" width="16" hidden="0" customWidth="1"/>
    <x:col min="4" max="4" width="34" hidden="0" customWidth="1"/>
    <x:col min="7" max="7" width="14" hidden="0" customWidth="1"/>
    <x:col min="8" max="8" width="36" hidden="0" customWidth="1"/>
    <x:col min="12" max="12" width="14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6" customHeight="1">
      <x:c r="A2" s="89"/>
      <x:c r="B2" s="90" t="str">
        <x:v>Findings and decision log</x:v>
      </x:c>
      <x:c r="C2" s="90"/>
      <x:c r="D2" s="90"/>
      <x:c r="E2" s="90"/>
      <x:c r="F2" s="90"/>
      <x:c r="G2" s="90"/>
      <x:c r="H2" s="90"/>
      <x:c r="I2" s="89"/>
      <x:c r="J2" s="89"/>
      <x:c r="K2" s="89"/>
      <x:c r="L2" s="89"/>
      <x:c r="M2" s="89"/>
      <x:c r="N2" s="89"/>
      <x:c r="O2"/>
      <x:c r="P2"/>
    </x:row>
    <x:row r="3" ht="26" customHeight="1">
      <x:c r="A3" s="89"/>
      <x:c r="B3" s="91" t="str">
        <x:v>Enter one finding per row</x:v>
      </x:c>
      <x:c r="C3" s="91"/>
      <x:c r="D3" s="91"/>
      <x:c r="E3" s="91"/>
      <x:c r="F3" s="91"/>
      <x:c r="G3" s="91"/>
      <x:c r="H3" s="91"/>
      <x:c r="I3" s="89"/>
      <x:c r="J3" s="89"/>
      <x:c r="K3" s="89"/>
      <x:c r="L3" s="89"/>
      <x:c r="M3" s="89"/>
      <x:c r="N3" s="89"/>
      <x:c r="O3"/>
      <x:c r="P3"/>
    </x:row>
    <x:row r="4">
      <x:c r="A4" s="89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/>
      <x:c r="P4"/>
    </x:row>
    <x:row r="5" ht="30" customHeight="1">
      <x:c r="A5" s="89"/>
      <x:c r="B5" s="119" t="str">
        <x:v>Finding ID</x:v>
      </x:c>
      <x:c r="C5" s="120" t="str">
        <x:v>Category</x:v>
      </x:c>
      <x:c r="D5" s="120" t="str">
        <x:v>Finding</x:v>
      </x:c>
      <x:c r="E5" s="120" t="str">
        <x:v>Evidence / source</x:v>
      </x:c>
      <x:c r="F5" s="120" t="str">
        <x:v>Likelihood</x:v>
      </x:c>
      <x:c r="G5" s="120" t="str">
        <x:v>Impact</x:v>
      </x:c>
      <x:c r="H5" s="120" t="str">
        <x:v>Mitigation / next action</x:v>
      </x:c>
      <x:c r="I5" s="120" t="str">
        <x:v>Owner</x:v>
      </x:c>
      <x:c r="J5" s="120" t="str">
        <x:v>Due date</x:v>
      </x:c>
      <x:c r="K5" s="120" t="str">
        <x:v>Decision</x:v>
      </x:c>
      <x:c r="L5" s="121" t="str">
        <x:v>Status</x:v>
      </x:c>
      <x:c r="M5" s="89"/>
      <x:c r="N5" s="89"/>
      <x:c r="O5"/>
      <x:c r="P5"/>
    </x:row>
    <x:row r="6" ht="22" customHeight="1">
      <x:c r="A6" s="89"/>
      <x:c r="B6" s="126" t="str">
        <x:v>F-001</x:v>
      </x:c>
      <x:c r="C6" s="130" t="str">
        <x:v>[Category]</x:v>
      </x:c>
      <x:c r="D6" s="130" t="str">
        <x:v>[Describe finding]</x:v>
      </x:c>
      <x:c r="E6" s="130" t="str">
        <x:v>[Evidence]</x:v>
      </x:c>
      <x:c r="F6" s="130" t="str">
        <x:v>Medium</x:v>
      </x:c>
      <x:c r="G6" s="130" t="str">
        <x:v>Medium</x:v>
      </x:c>
      <x:c r="H6" s="130" t="str">
        <x:v>[Action]</x:v>
      </x:c>
      <x:c r="I6" s="130" t="str">
        <x:v>[Owner]</x:v>
      </x:c>
      <x:c r="J6" s="130" t="str">
        <x:v>[Date]</x:v>
      </x:c>
      <x:c r="K6" s="130" t="str">
        <x:v>[Decision]</x:v>
      </x:c>
      <x:c r="L6" s="130" t="str">
        <x:v>Open</x:v>
      </x:c>
      <x:c r="M6" s="89"/>
      <x:c r="N6" s="89"/>
      <x:c r="O6"/>
      <x:c r="P6"/>
    </x:row>
    <x:row r="7" ht="22" customHeight="1">
      <x:c r="A7" s="89"/>
      <x:c r="B7" s="126" t="str">
        <x:v>F-002</x:v>
      </x:c>
      <x:c r="C7" s="130" t="str">
        <x:v>[Category]</x:v>
      </x:c>
      <x:c r="D7" s="130" t="str">
        <x:v>[Describe finding]</x:v>
      </x:c>
      <x:c r="E7" s="130" t="str">
        <x:v>[Evidence]</x:v>
      </x:c>
      <x:c r="F7" s="130" t="str">
        <x:v>Medium</x:v>
      </x:c>
      <x:c r="G7" s="130" t="str">
        <x:v>Medium</x:v>
      </x:c>
      <x:c r="H7" s="130" t="str">
        <x:v>[Action]</x:v>
      </x:c>
      <x:c r="I7" s="130" t="str">
        <x:v>[Owner]</x:v>
      </x:c>
      <x:c r="J7" s="130" t="str">
        <x:v>[Date]</x:v>
      </x:c>
      <x:c r="K7" s="130" t="str">
        <x:v>[Decision]</x:v>
      </x:c>
      <x:c r="L7" s="130" t="str">
        <x:v>Open</x:v>
      </x:c>
      <x:c r="M7" s="89"/>
      <x:c r="N7" s="89"/>
      <x:c r="O7"/>
      <x:c r="P7"/>
    </x:row>
    <x:row r="8">
      <x:c r="A8" s="89"/>
      <x:c r="B8" s="126" t="str">
        <x:v>F-003</x:v>
      </x:c>
      <x:c r="C8" s="130" t="str">
        <x:v>[Category]</x:v>
      </x:c>
      <x:c r="D8" s="130" t="str">
        <x:v>[Describe finding]</x:v>
      </x:c>
      <x:c r="E8" s="130" t="str">
        <x:v>[Evidence]</x:v>
      </x:c>
      <x:c r="F8" s="130" t="str">
        <x:v>Medium</x:v>
      </x:c>
      <x:c r="G8" s="130" t="str">
        <x:v>Medium</x:v>
      </x:c>
      <x:c r="H8" s="130" t="str">
        <x:v>[Action]</x:v>
      </x:c>
      <x:c r="I8" s="130" t="str">
        <x:v>[Owner]</x:v>
      </x:c>
      <x:c r="J8" s="130" t="str">
        <x:v>[Date]</x:v>
      </x:c>
      <x:c r="K8" s="130" t="str">
        <x:v>[Decision]</x:v>
      </x:c>
      <x:c r="L8" s="130" t="str">
        <x:v>Open</x:v>
      </x:c>
      <x:c r="M8" s="89"/>
      <x:c r="N8" s="89"/>
      <x:c r="O8"/>
      <x:c r="P8"/>
    </x:row>
    <x:row r="9">
      <x:c r="A9" s="89"/>
      <x:c r="B9" s="126" t="str">
        <x:v>F-004</x:v>
      </x:c>
      <x:c r="C9" s="130" t="str">
        <x:v>[Category]</x:v>
      </x:c>
      <x:c r="D9" s="130" t="str">
        <x:v>[Describe finding]</x:v>
      </x:c>
      <x:c r="E9" s="130" t="str">
        <x:v>[Evidence]</x:v>
      </x:c>
      <x:c r="F9" s="130" t="str">
        <x:v>Medium</x:v>
      </x:c>
      <x:c r="G9" s="130" t="str">
        <x:v>Medium</x:v>
      </x:c>
      <x:c r="H9" s="130" t="str">
        <x:v>[Action]</x:v>
      </x:c>
      <x:c r="I9" s="130" t="str">
        <x:v>[Owner]</x:v>
      </x:c>
      <x:c r="J9" s="130" t="str">
        <x:v>[Date]</x:v>
      </x:c>
      <x:c r="K9" s="130" t="str">
        <x:v>[Decision]</x:v>
      </x:c>
      <x:c r="L9" s="130" t="str">
        <x:v>Open</x:v>
      </x:c>
      <x:c r="M9" s="89"/>
      <x:c r="N9" s="89"/>
      <x:c r="O9"/>
      <x:c r="P9"/>
    </x:row>
    <x:row r="10" ht="26">
      <x:c r="A10" s="89"/>
      <x:c r="B10" s="126" t="str">
        <x:v>F-005</x:v>
      </x:c>
      <x:c r="C10" s="130" t="str">
        <x:v>[Category]</x:v>
      </x:c>
      <x:c r="D10" s="130" t="str">
        <x:v>[Describe finding]</x:v>
      </x:c>
      <x:c r="E10" s="130" t="str">
        <x:v>[Evidence]</x:v>
      </x:c>
      <x:c r="F10" s="130" t="str">
        <x:v>Medium</x:v>
      </x:c>
      <x:c r="G10" s="130" t="str">
        <x:v>Medium</x:v>
      </x:c>
      <x:c r="H10" s="130" t="str">
        <x:v>[Action]</x:v>
      </x:c>
      <x:c r="I10" s="130" t="str">
        <x:v>[Owner]</x:v>
      </x:c>
      <x:c r="J10" s="130" t="str">
        <x:v>[Date]</x:v>
      </x:c>
      <x:c r="K10" s="130" t="str">
        <x:v>[Decision]</x:v>
      </x:c>
      <x:c r="L10" s="130" t="str">
        <x:v>Open</x:v>
      </x:c>
      <x:c r="M10" s="89"/>
      <x:c r="N10" s="89"/>
      <x:c r="O10"/>
      <x:c r="P10"/>
    </x:row>
    <x:row r="11">
      <x:c r="A11" s="89"/>
      <x:c r="B11" s="126" t="str">
        <x:v>F-006</x:v>
      </x:c>
      <x:c r="C11" s="130" t="str">
        <x:v>[Category]</x:v>
      </x:c>
      <x:c r="D11" s="130" t="str">
        <x:v>[Describe finding]</x:v>
      </x:c>
      <x:c r="E11" s="130" t="str">
        <x:v>[Evidence]</x:v>
      </x:c>
      <x:c r="F11" s="130" t="str">
        <x:v>Medium</x:v>
      </x:c>
      <x:c r="G11" s="130" t="str">
        <x:v>Medium</x:v>
      </x:c>
      <x:c r="H11" s="130" t="str">
        <x:v>[Action]</x:v>
      </x:c>
      <x:c r="I11" s="130" t="str">
        <x:v>[Owner]</x:v>
      </x:c>
      <x:c r="J11" s="130" t="str">
        <x:v>[Date]</x:v>
      </x:c>
      <x:c r="K11" s="130" t="str">
        <x:v>[Decision]</x:v>
      </x:c>
      <x:c r="L11" s="130" t="str">
        <x:v>Open</x:v>
      </x:c>
      <x:c r="M11" s="89"/>
      <x:c r="N11" s="89"/>
      <x:c r="O11"/>
      <x:c r="P11"/>
    </x:row>
    <x:row r="12">
      <x:c r="A12" s="89"/>
      <x:c r="B12" s="126" t="str">
        <x:v>F-007</x:v>
      </x:c>
      <x:c r="C12" s="130" t="str">
        <x:v>[Category]</x:v>
      </x:c>
      <x:c r="D12" s="130" t="str">
        <x:v>[Describe finding]</x:v>
      </x:c>
      <x:c r="E12" s="130" t="str">
        <x:v>[Evidence]</x:v>
      </x:c>
      <x:c r="F12" s="130" t="str">
        <x:v>Medium</x:v>
      </x:c>
      <x:c r="G12" s="130" t="str">
        <x:v>Medium</x:v>
      </x:c>
      <x:c r="H12" s="130" t="str">
        <x:v>[Action]</x:v>
      </x:c>
      <x:c r="I12" s="130" t="str">
        <x:v>[Owner]</x:v>
      </x:c>
      <x:c r="J12" s="130" t="str">
        <x:v>[Date]</x:v>
      </x:c>
      <x:c r="K12" s="130" t="str">
        <x:v>[Decision]</x:v>
      </x:c>
      <x:c r="L12" s="130" t="str">
        <x:v>Open</x:v>
      </x:c>
      <x:c r="M12" s="89"/>
      <x:c r="N12" s="89"/>
      <x:c r="O12"/>
      <x:c r="P12"/>
    </x:row>
    <x:row r="13" ht="22" customHeight="1">
      <x:c r="A13" s="89"/>
      <x:c r="B13" s="126" t="str">
        <x:v>F-008</x:v>
      </x:c>
      <x:c r="C13" s="130" t="str">
        <x:v>[Category]</x:v>
      </x:c>
      <x:c r="D13" s="130" t="str">
        <x:v>[Describe finding]</x:v>
      </x:c>
      <x:c r="E13" s="130" t="str">
        <x:v>[Evidence]</x:v>
      </x:c>
      <x:c r="F13" s="130" t="str">
        <x:v>Medium</x:v>
      </x:c>
      <x:c r="G13" s="130" t="str">
        <x:v>Medium</x:v>
      </x:c>
      <x:c r="H13" s="130" t="str">
        <x:v>[Action]</x:v>
      </x:c>
      <x:c r="I13" s="130" t="str">
        <x:v>[Owner]</x:v>
      </x:c>
      <x:c r="J13" s="130" t="str">
        <x:v>[Date]</x:v>
      </x:c>
      <x:c r="K13" s="130" t="str">
        <x:v>[Decision]</x:v>
      </x:c>
      <x:c r="L13" s="130" t="str">
        <x:v>Open</x:v>
      </x:c>
      <x:c r="M13" s="89"/>
      <x:c r="N13" s="89"/>
      <x:c r="O13"/>
      <x:c r="P13"/>
    </x:row>
    <x:row r="14">
      <x:c r="A14" s="89"/>
      <x:c r="B14" s="126" t="str">
        <x:v>F-009</x:v>
      </x:c>
      <x:c r="C14" s="130" t="str">
        <x:v>[Category]</x:v>
      </x:c>
      <x:c r="D14" s="130" t="str">
        <x:v>[Describe finding]</x:v>
      </x:c>
      <x:c r="E14" s="130" t="str">
        <x:v>[Evidence]</x:v>
      </x:c>
      <x:c r="F14" s="130" t="str">
        <x:v>Medium</x:v>
      </x:c>
      <x:c r="G14" s="130" t="str">
        <x:v>Medium</x:v>
      </x:c>
      <x:c r="H14" s="130" t="str">
        <x:v>[Action]</x:v>
      </x:c>
      <x:c r="I14" s="130" t="str">
        <x:v>[Owner]</x:v>
      </x:c>
      <x:c r="J14" s="130" t="str">
        <x:v>[Date]</x:v>
      </x:c>
      <x:c r="K14" s="130" t="str">
        <x:v>[Decision]</x:v>
      </x:c>
      <x:c r="L14" s="130" t="str">
        <x:v>Open</x:v>
      </x:c>
      <x:c r="M14" s="89"/>
      <x:c r="N14" s="89"/>
      <x:c r="O14"/>
      <x:c r="P14"/>
    </x:row>
    <x:row r="15" ht="34" customHeight="1">
      <x:c r="A15" s="89"/>
      <x:c r="B15" s="126" t="str">
        <x:v>F-010</x:v>
      </x:c>
      <x:c r="C15" s="130" t="str">
        <x:v>[Category]</x:v>
      </x:c>
      <x:c r="D15" s="130" t="str">
        <x:v>[Describe finding]</x:v>
      </x:c>
      <x:c r="E15" s="130" t="str">
        <x:v>[Evidence]</x:v>
      </x:c>
      <x:c r="F15" s="130" t="str">
        <x:v>Medium</x:v>
      </x:c>
      <x:c r="G15" s="130" t="str">
        <x:v>Medium</x:v>
      </x:c>
      <x:c r="H15" s="130" t="str">
        <x:v>[Action]</x:v>
      </x:c>
      <x:c r="I15" s="130" t="str">
        <x:v>[Owner]</x:v>
      </x:c>
      <x:c r="J15" s="130" t="str">
        <x:v>[Date]</x:v>
      </x:c>
      <x:c r="K15" s="130" t="str">
        <x:v>[Decision]</x:v>
      </x:c>
      <x:c r="L15" s="130" t="str">
        <x:v>Open</x:v>
      </x:c>
      <x:c r="M15" s="89"/>
      <x:c r="N15" s="89"/>
      <x:c r="O15"/>
      <x:c r="P15"/>
    </x:row>
    <x:row r="16">
      <x:c r="A16" s="89"/>
      <x:c r="B16" s="126" t="str">
        <x:v>F-011</x:v>
      </x:c>
      <x:c r="C16" s="130" t="str">
        <x:v>[Category]</x:v>
      </x:c>
      <x:c r="D16" s="130" t="str">
        <x:v>[Describe finding]</x:v>
      </x:c>
      <x:c r="E16" s="130" t="str">
        <x:v>[Evidence]</x:v>
      </x:c>
      <x:c r="F16" s="130" t="str">
        <x:v>Medium</x:v>
      </x:c>
      <x:c r="G16" s="130" t="str">
        <x:v>Medium</x:v>
      </x:c>
      <x:c r="H16" s="130" t="str">
        <x:v>[Action]</x:v>
      </x:c>
      <x:c r="I16" s="130" t="str">
        <x:v>[Owner]</x:v>
      </x:c>
      <x:c r="J16" s="130" t="str">
        <x:v>[Date]</x:v>
      </x:c>
      <x:c r="K16" s="130" t="str">
        <x:v>[Decision]</x:v>
      </x:c>
      <x:c r="L16" s="130" t="str">
        <x:v>Open</x:v>
      </x:c>
      <x:c r="M16" s="89"/>
      <x:c r="N16" s="89"/>
      <x:c r="O16"/>
      <x:c r="P16"/>
    </x:row>
    <x:row r="17">
      <x:c r="A17" s="89"/>
      <x:c r="B17" s="126" t="str">
        <x:v>F-012</x:v>
      </x:c>
      <x:c r="C17" s="130" t="str">
        <x:v>[Category]</x:v>
      </x:c>
      <x:c r="D17" s="130" t="str">
        <x:v>[Describe finding]</x:v>
      </x:c>
      <x:c r="E17" s="130" t="str">
        <x:v>[Evidence]</x:v>
      </x:c>
      <x:c r="F17" s="130" t="str">
        <x:v>Medium</x:v>
      </x:c>
      <x:c r="G17" s="130" t="str">
        <x:v>Medium</x:v>
      </x:c>
      <x:c r="H17" s="130" t="str">
        <x:v>[Action]</x:v>
      </x:c>
      <x:c r="I17" s="130" t="str">
        <x:v>[Owner]</x:v>
      </x:c>
      <x:c r="J17" s="130" t="str">
        <x:v>[Date]</x:v>
      </x:c>
      <x:c r="K17" s="130" t="str">
        <x:v>[Decision]</x:v>
      </x:c>
      <x:c r="L17" s="130" t="str">
        <x:v>Open</x:v>
      </x:c>
      <x:c r="M17" s="89"/>
      <x:c r="N17" s="89"/>
      <x:c r="O17"/>
      <x:c r="P17"/>
    </x:row>
    <x:row r="18">
      <x:c r="A18" s="89"/>
      <x:c r="B18" s="126" t="str">
        <x:v>F-013</x:v>
      </x:c>
      <x:c r="C18" s="130" t="str">
        <x:v>[Category]</x:v>
      </x:c>
      <x:c r="D18" s="130" t="str">
        <x:v>[Describe finding]</x:v>
      </x:c>
      <x:c r="E18" s="130" t="str">
        <x:v>[Evidence]</x:v>
      </x:c>
      <x:c r="F18" s="130" t="str">
        <x:v>Medium</x:v>
      </x:c>
      <x:c r="G18" s="130" t="str">
        <x:v>Medium</x:v>
      </x:c>
      <x:c r="H18" s="130" t="str">
        <x:v>[Action]</x:v>
      </x:c>
      <x:c r="I18" s="130" t="str">
        <x:v>[Owner]</x:v>
      </x:c>
      <x:c r="J18" s="130" t="str">
        <x:v>[Date]</x:v>
      </x:c>
      <x:c r="K18" s="130" t="str">
        <x:v>[Decision]</x:v>
      </x:c>
      <x:c r="L18" s="130" t="str">
        <x:v>Open</x:v>
      </x:c>
      <x:c r="M18" s="89"/>
      <x:c r="N18" s="89"/>
      <x:c r="O18"/>
      <x:c r="P18"/>
    </x:row>
    <x:row r="19">
      <x:c r="A19" s="89"/>
      <x:c r="B19" s="126" t="str">
        <x:v>F-014</x:v>
      </x:c>
      <x:c r="C19" s="130" t="str">
        <x:v>[Category]</x:v>
      </x:c>
      <x:c r="D19" s="130" t="str">
        <x:v>[Describe finding]</x:v>
      </x:c>
      <x:c r="E19" s="130" t="str">
        <x:v>[Evidence]</x:v>
      </x:c>
      <x:c r="F19" s="130" t="str">
        <x:v>Medium</x:v>
      </x:c>
      <x:c r="G19" s="130" t="str">
        <x:v>Medium</x:v>
      </x:c>
      <x:c r="H19" s="130" t="str">
        <x:v>[Action]</x:v>
      </x:c>
      <x:c r="I19" s="130" t="str">
        <x:v>[Owner]</x:v>
      </x:c>
      <x:c r="J19" s="130" t="str">
        <x:v>[Date]</x:v>
      </x:c>
      <x:c r="K19" s="130" t="str">
        <x:v>[Decision]</x:v>
      </x:c>
      <x:c r="L19" s="130" t="str">
        <x:v>Open</x:v>
      </x:c>
      <x:c r="M19" s="89"/>
      <x:c r="N19" s="89"/>
      <x:c r="O19"/>
      <x:c r="P19"/>
    </x:row>
    <x:row r="20">
      <x:c r="A20" s="89"/>
      <x:c r="B20" s="126" t="str">
        <x:v>F-015</x:v>
      </x:c>
      <x:c r="C20" s="130" t="str">
        <x:v>[Category]</x:v>
      </x:c>
      <x:c r="D20" s="130" t="str">
        <x:v>[Describe finding]</x:v>
      </x:c>
      <x:c r="E20" s="130" t="str">
        <x:v>[Evidence]</x:v>
      </x:c>
      <x:c r="F20" s="130" t="str">
        <x:v>Medium</x:v>
      </x:c>
      <x:c r="G20" s="130" t="str">
        <x:v>Medium</x:v>
      </x:c>
      <x:c r="H20" s="130" t="str">
        <x:v>[Action]</x:v>
      </x:c>
      <x:c r="I20" s="130" t="str">
        <x:v>[Owner]</x:v>
      </x:c>
      <x:c r="J20" s="130" t="str">
        <x:v>[Date]</x:v>
      </x:c>
      <x:c r="K20" s="130" t="str">
        <x:v>[Decision]</x:v>
      </x:c>
      <x:c r="L20" s="130" t="str">
        <x:v>Open</x:v>
      </x:c>
      <x:c r="M20" s="89"/>
      <x:c r="N20" s="89"/>
      <x:c r="O20"/>
      <x:c r="P20"/>
    </x:row>
    <x:row r="21">
      <x:c r="A21" s="89"/>
      <x:c r="B21" s="126" t="str">
        <x:v>F-016</x:v>
      </x:c>
      <x:c r="C21" s="130" t="str">
        <x:v>[Category]</x:v>
      </x:c>
      <x:c r="D21" s="130" t="str">
        <x:v>[Describe finding]</x:v>
      </x:c>
      <x:c r="E21" s="130" t="str">
        <x:v>[Evidence]</x:v>
      </x:c>
      <x:c r="F21" s="130" t="str">
        <x:v>Medium</x:v>
      </x:c>
      <x:c r="G21" s="130" t="str">
        <x:v>Medium</x:v>
      </x:c>
      <x:c r="H21" s="130" t="str">
        <x:v>[Action]</x:v>
      </x:c>
      <x:c r="I21" s="130" t="str">
        <x:v>[Owner]</x:v>
      </x:c>
      <x:c r="J21" s="130" t="str">
        <x:v>[Date]</x:v>
      </x:c>
      <x:c r="K21" s="130" t="str">
        <x:v>[Decision]</x:v>
      </x:c>
      <x:c r="L21" s="130" t="str">
        <x:v>Open</x:v>
      </x:c>
      <x:c r="M21" s="89"/>
      <x:c r="N21" s="89"/>
      <x:c r="O21"/>
      <x:c r="P21"/>
    </x:row>
    <x:row r="22">
      <x:c r="A22" s="89"/>
      <x:c r="B22" s="126" t="str">
        <x:v>F-017</x:v>
      </x:c>
      <x:c r="C22" s="130" t="str">
        <x:v>[Category]</x:v>
      </x:c>
      <x:c r="D22" s="130" t="str">
        <x:v>[Describe finding]</x:v>
      </x:c>
      <x:c r="E22" s="130" t="str">
        <x:v>[Evidence]</x:v>
      </x:c>
      <x:c r="F22" s="130" t="str">
        <x:v>Medium</x:v>
      </x:c>
      <x:c r="G22" s="130" t="str">
        <x:v>Medium</x:v>
      </x:c>
      <x:c r="H22" s="130" t="str">
        <x:v>[Action]</x:v>
      </x:c>
      <x:c r="I22" s="130" t="str">
        <x:v>[Owner]</x:v>
      </x:c>
      <x:c r="J22" s="130" t="str">
        <x:v>[Date]</x:v>
      </x:c>
      <x:c r="K22" s="130" t="str">
        <x:v>[Decision]</x:v>
      </x:c>
      <x:c r="L22" s="130" t="str">
        <x:v>Open</x:v>
      </x:c>
      <x:c r="M22" s="89"/>
      <x:c r="N22" s="89"/>
      <x:c r="O22"/>
      <x:c r="P22"/>
    </x:row>
    <x:row r="23">
      <x:c r="A23" s="89"/>
      <x:c r="B23" s="126" t="str">
        <x:v>F-018</x:v>
      </x:c>
      <x:c r="C23" s="130" t="str">
        <x:v>[Category]</x:v>
      </x:c>
      <x:c r="D23" s="130" t="str">
        <x:v>[Describe finding]</x:v>
      </x:c>
      <x:c r="E23" s="130" t="str">
        <x:v>[Evidence]</x:v>
      </x:c>
      <x:c r="F23" s="130" t="str">
        <x:v>Medium</x:v>
      </x:c>
      <x:c r="G23" s="130" t="str">
        <x:v>Medium</x:v>
      </x:c>
      <x:c r="H23" s="130" t="str">
        <x:v>[Action]</x:v>
      </x:c>
      <x:c r="I23" s="130" t="str">
        <x:v>[Owner]</x:v>
      </x:c>
      <x:c r="J23" s="130" t="str">
        <x:v>[Date]</x:v>
      </x:c>
      <x:c r="K23" s="130" t="str">
        <x:v>[Decision]</x:v>
      </x:c>
      <x:c r="L23" s="130" t="str">
        <x:v>Open</x:v>
      </x:c>
      <x:c r="M23" s="89"/>
      <x:c r="N23" s="89"/>
      <x:c r="O23"/>
      <x:c r="P23"/>
    </x:row>
    <x:row r="24">
      <x:c r="A24" s="89"/>
      <x:c r="B24" s="126" t="str">
        <x:v>F-019</x:v>
      </x:c>
      <x:c r="C24" s="130" t="str">
        <x:v>[Category]</x:v>
      </x:c>
      <x:c r="D24" s="130" t="str">
        <x:v>[Describe finding]</x:v>
      </x:c>
      <x:c r="E24" s="130" t="str">
        <x:v>[Evidence]</x:v>
      </x:c>
      <x:c r="F24" s="130" t="str">
        <x:v>Medium</x:v>
      </x:c>
      <x:c r="G24" s="130" t="str">
        <x:v>Medium</x:v>
      </x:c>
      <x:c r="H24" s="130" t="str">
        <x:v>[Action]</x:v>
      </x:c>
      <x:c r="I24" s="130" t="str">
        <x:v>[Owner]</x:v>
      </x:c>
      <x:c r="J24" s="130" t="str">
        <x:v>[Date]</x:v>
      </x:c>
      <x:c r="K24" s="130" t="str">
        <x:v>[Decision]</x:v>
      </x:c>
      <x:c r="L24" s="130" t="str">
        <x:v>Open</x:v>
      </x:c>
      <x:c r="M24" s="89"/>
      <x:c r="N24" s="89"/>
      <x:c r="O24"/>
      <x:c r="P24"/>
    </x:row>
    <x:row r="25">
      <x:c r="A25" s="89"/>
      <x:c r="B25" s="126" t="str">
        <x:v>F-020</x:v>
      </x:c>
      <x:c r="C25" s="130" t="str">
        <x:v>[Category]</x:v>
      </x:c>
      <x:c r="D25" s="130" t="str">
        <x:v>[Describe finding]</x:v>
      </x:c>
      <x:c r="E25" s="130" t="str">
        <x:v>[Evidence]</x:v>
      </x:c>
      <x:c r="F25" s="130" t="str">
        <x:v>Medium</x:v>
      </x:c>
      <x:c r="G25" s="130" t="str">
        <x:v>Medium</x:v>
      </x:c>
      <x:c r="H25" s="130" t="str">
        <x:v>[Action]</x:v>
      </x:c>
      <x:c r="I25" s="130" t="str">
        <x:v>[Owner]</x:v>
      </x:c>
      <x:c r="J25" s="130" t="str">
        <x:v>[Date]</x:v>
      </x:c>
      <x:c r="K25" s="130" t="str">
        <x:v>[Decision]</x:v>
      </x:c>
      <x:c r="L25" s="130" t="str">
        <x:v>Open</x:v>
      </x:c>
      <x:c r="M25" s="89"/>
      <x:c r="N25" s="89"/>
      <x:c r="O25"/>
      <x:c r="P25"/>
    </x:row>
    <x:row r="26">
      <x:c r="A26" s="89"/>
      <x:c r="B26" s="126" t="str">
        <x:v>F-021</x:v>
      </x:c>
      <x:c r="C26" s="130" t="str">
        <x:v>[Category]</x:v>
      </x:c>
      <x:c r="D26" s="130" t="str">
        <x:v>[Describe finding]</x:v>
      </x:c>
      <x:c r="E26" s="130" t="str">
        <x:v>[Evidence]</x:v>
      </x:c>
      <x:c r="F26" s="130" t="str">
        <x:v>Medium</x:v>
      </x:c>
      <x:c r="G26" s="130" t="str">
        <x:v>Medium</x:v>
      </x:c>
      <x:c r="H26" s="130" t="str">
        <x:v>[Action]</x:v>
      </x:c>
      <x:c r="I26" s="130" t="str">
        <x:v>[Owner]</x:v>
      </x:c>
      <x:c r="J26" s="130" t="str">
        <x:v>[Date]</x:v>
      </x:c>
      <x:c r="K26" s="130" t="str">
        <x:v>[Decision]</x:v>
      </x:c>
      <x:c r="L26" s="130" t="str">
        <x:v>Open</x:v>
      </x:c>
      <x:c r="M26" s="89"/>
      <x:c r="N26" s="89"/>
      <x:c r="O26"/>
      <x:c r="P26"/>
    </x:row>
    <x:row r="27">
      <x:c r="A27" s="89"/>
      <x:c r="B27" s="126" t="str">
        <x:v>F-022</x:v>
      </x:c>
      <x:c r="C27" s="130" t="str">
        <x:v>[Category]</x:v>
      </x:c>
      <x:c r="D27" s="130" t="str">
        <x:v>[Describe finding]</x:v>
      </x:c>
      <x:c r="E27" s="130" t="str">
        <x:v>[Evidence]</x:v>
      </x:c>
      <x:c r="F27" s="130" t="str">
        <x:v>Medium</x:v>
      </x:c>
      <x:c r="G27" s="130" t="str">
        <x:v>Medium</x:v>
      </x:c>
      <x:c r="H27" s="130" t="str">
        <x:v>[Action]</x:v>
      </x:c>
      <x:c r="I27" s="130" t="str">
        <x:v>[Owner]</x:v>
      </x:c>
      <x:c r="J27" s="130" t="str">
        <x:v>[Date]</x:v>
      </x:c>
      <x:c r="K27" s="130" t="str">
        <x:v>[Decision]</x:v>
      </x:c>
      <x:c r="L27" s="130" t="str">
        <x:v>Open</x:v>
      </x:c>
      <x:c r="M27" s="89"/>
      <x:c r="N27" s="89"/>
      <x:c r="O27"/>
      <x:c r="P27"/>
    </x:row>
    <x:row r="28">
      <x:c r="A28" s="89"/>
      <x:c r="B28" s="126" t="str">
        <x:v>F-023</x:v>
      </x:c>
      <x:c r="C28" s="130" t="str">
        <x:v>[Category]</x:v>
      </x:c>
      <x:c r="D28" s="130" t="str">
        <x:v>[Describe finding]</x:v>
      </x:c>
      <x:c r="E28" s="130" t="str">
        <x:v>[Evidence]</x:v>
      </x:c>
      <x:c r="F28" s="130" t="str">
        <x:v>Medium</x:v>
      </x:c>
      <x:c r="G28" s="130" t="str">
        <x:v>Medium</x:v>
      </x:c>
      <x:c r="H28" s="130" t="str">
        <x:v>[Action]</x:v>
      </x:c>
      <x:c r="I28" s="130" t="str">
        <x:v>[Owner]</x:v>
      </x:c>
      <x:c r="J28" s="130" t="str">
        <x:v>[Date]</x:v>
      </x:c>
      <x:c r="K28" s="130" t="str">
        <x:v>[Decision]</x:v>
      </x:c>
      <x:c r="L28" s="130" t="str">
        <x:v>Open</x:v>
      </x:c>
      <x:c r="M28" s="89"/>
      <x:c r="N28" s="89"/>
      <x:c r="O28"/>
      <x:c r="P28"/>
    </x:row>
    <x:row r="29" ht="22" customHeight="1">
      <x:c r="A29" s="89"/>
      <x:c r="B29" s="126" t="str">
        <x:v>F-024</x:v>
      </x:c>
      <x:c r="C29" s="130" t="str">
        <x:v>[Category]</x:v>
      </x:c>
      <x:c r="D29" s="130" t="str">
        <x:v>[Describe finding]</x:v>
      </x:c>
      <x:c r="E29" s="130" t="str">
        <x:v>[Evidence]</x:v>
      </x:c>
      <x:c r="F29" s="130" t="str">
        <x:v>Medium</x:v>
      </x:c>
      <x:c r="G29" s="130" t="str">
        <x:v>Medium</x:v>
      </x:c>
      <x:c r="H29" s="130" t="str">
        <x:v>[Action]</x:v>
      </x:c>
      <x:c r="I29" s="130" t="str">
        <x:v>[Owner]</x:v>
      </x:c>
      <x:c r="J29" s="130" t="str">
        <x:v>[Date]</x:v>
      </x:c>
      <x:c r="K29" s="130" t="str">
        <x:v>[Decision]</x:v>
      </x:c>
      <x:c r="L29" s="130" t="str">
        <x:v>Open</x:v>
      </x:c>
      <x:c r="M29" s="89"/>
      <x:c r="N29" s="89"/>
      <x:c r="O29"/>
      <x:c r="P29"/>
    </x:row>
    <x:row r="30">
      <x:c r="A30" s="89"/>
      <x:c r="B30" s="126" t="str">
        <x:v>F-025</x:v>
      </x:c>
      <x:c r="C30" s="130" t="str">
        <x:v>[Category]</x:v>
      </x:c>
      <x:c r="D30" s="130" t="str">
        <x:v>[Describe finding]</x:v>
      </x:c>
      <x:c r="E30" s="130" t="str">
        <x:v>[Evidence]</x:v>
      </x:c>
      <x:c r="F30" s="130" t="str">
        <x:v>Medium</x:v>
      </x:c>
      <x:c r="G30" s="130" t="str">
        <x:v>Medium</x:v>
      </x:c>
      <x:c r="H30" s="130" t="str">
        <x:v>[Action]</x:v>
      </x:c>
      <x:c r="I30" s="130" t="str">
        <x:v>[Owner]</x:v>
      </x:c>
      <x:c r="J30" s="130" t="str">
        <x:v>[Date]</x:v>
      </x:c>
      <x:c r="K30" s="130" t="str">
        <x:v>[Decision]</x:v>
      </x:c>
      <x:c r="L30" s="130" t="str">
        <x:v>Open</x:v>
      </x:c>
      <x:c r="M30" s="89"/>
      <x:c r="N30" s="89"/>
      <x:c r="O30"/>
      <x:c r="P30"/>
    </x:row>
    <x:row r="31">
      <x:c r="A31" s="89"/>
      <x:c r="B31" s="126" t="str">
        <x:v>F-026</x:v>
      </x:c>
      <x:c r="C31" s="130" t="str">
        <x:v>[Category]</x:v>
      </x:c>
      <x:c r="D31" s="130" t="str">
        <x:v>[Describe finding]</x:v>
      </x:c>
      <x:c r="E31" s="130" t="str">
        <x:v>[Evidence]</x:v>
      </x:c>
      <x:c r="F31" s="130" t="str">
        <x:v>Medium</x:v>
      </x:c>
      <x:c r="G31" s="130" t="str">
        <x:v>Medium</x:v>
      </x:c>
      <x:c r="H31" s="130" t="str">
        <x:v>[Action]</x:v>
      </x:c>
      <x:c r="I31" s="130" t="str">
        <x:v>[Owner]</x:v>
      </x:c>
      <x:c r="J31" s="130" t="str">
        <x:v>[Date]</x:v>
      </x:c>
      <x:c r="K31" s="130" t="str">
        <x:v>[Decision]</x:v>
      </x:c>
      <x:c r="L31" s="130" t="str">
        <x:v>Open</x:v>
      </x:c>
      <x:c r="M31" s="89"/>
      <x:c r="N31" s="89"/>
      <x:c r="O31"/>
      <x:c r="P31"/>
    </x:row>
    <x:row r="32">
      <x:c r="A32" s="89"/>
      <x:c r="B32" s="126" t="str">
        <x:v>F-027</x:v>
      </x:c>
      <x:c r="C32" s="130" t="str">
        <x:v>[Category]</x:v>
      </x:c>
      <x:c r="D32" s="130" t="str">
        <x:v>[Describe finding]</x:v>
      </x:c>
      <x:c r="E32" s="130" t="str">
        <x:v>[Evidence]</x:v>
      </x:c>
      <x:c r="F32" s="130" t="str">
        <x:v>Medium</x:v>
      </x:c>
      <x:c r="G32" s="130" t="str">
        <x:v>Medium</x:v>
      </x:c>
      <x:c r="H32" s="130" t="str">
        <x:v>[Action]</x:v>
      </x:c>
      <x:c r="I32" s="130" t="str">
        <x:v>[Owner]</x:v>
      </x:c>
      <x:c r="J32" s="130" t="str">
        <x:v>[Date]</x:v>
      </x:c>
      <x:c r="K32" s="130" t="str">
        <x:v>[Decision]</x:v>
      </x:c>
      <x:c r="L32" s="130" t="str">
        <x:v>Open</x:v>
      </x:c>
      <x:c r="M32" s="89"/>
      <x:c r="N32" s="89"/>
      <x:c r="O32"/>
      <x:c r="P32"/>
    </x:row>
    <x:row r="33">
      <x:c r="A33" s="89"/>
      <x:c r="B33" s="126" t="str">
        <x:v>F-028</x:v>
      </x:c>
      <x:c r="C33" s="130" t="str">
        <x:v>[Category]</x:v>
      </x:c>
      <x:c r="D33" s="130" t="str">
        <x:v>[Describe finding]</x:v>
      </x:c>
      <x:c r="E33" s="130" t="str">
        <x:v>[Evidence]</x:v>
      </x:c>
      <x:c r="F33" s="130" t="str">
        <x:v>Medium</x:v>
      </x:c>
      <x:c r="G33" s="130" t="str">
        <x:v>Medium</x:v>
      </x:c>
      <x:c r="H33" s="130" t="str">
        <x:v>[Action]</x:v>
      </x:c>
      <x:c r="I33" s="130" t="str">
        <x:v>[Owner]</x:v>
      </x:c>
      <x:c r="J33" s="130" t="str">
        <x:v>[Date]</x:v>
      </x:c>
      <x:c r="K33" s="130" t="str">
        <x:v>[Decision]</x:v>
      </x:c>
      <x:c r="L33" s="130" t="str">
        <x:v>Open</x:v>
      </x:c>
      <x:c r="M33" s="89"/>
      <x:c r="N33" s="89"/>
      <x:c r="O33"/>
      <x:c r="P33"/>
    </x:row>
    <x:row r="34">
      <x:c r="A34" s="89"/>
      <x:c r="B34" s="126" t="str">
        <x:v>F-029</x:v>
      </x:c>
      <x:c r="C34" s="130" t="str">
        <x:v>[Category]</x:v>
      </x:c>
      <x:c r="D34" s="130" t="str">
        <x:v>[Describe finding]</x:v>
      </x:c>
      <x:c r="E34" s="130" t="str">
        <x:v>[Evidence]</x:v>
      </x:c>
      <x:c r="F34" s="130" t="str">
        <x:v>Medium</x:v>
      </x:c>
      <x:c r="G34" s="130" t="str">
        <x:v>Medium</x:v>
      </x:c>
      <x:c r="H34" s="130" t="str">
        <x:v>[Action]</x:v>
      </x:c>
      <x:c r="I34" s="130" t="str">
        <x:v>[Owner]</x:v>
      </x:c>
      <x:c r="J34" s="130" t="str">
        <x:v>[Date]</x:v>
      </x:c>
      <x:c r="K34" s="130" t="str">
        <x:v>[Decision]</x:v>
      </x:c>
      <x:c r="L34" s="130" t="str">
        <x:v>Open</x:v>
      </x:c>
      <x:c r="M34" s="89"/>
      <x:c r="N34" s="89"/>
      <x:c r="O34"/>
      <x:c r="P34"/>
    </x:row>
    <x:row r="35">
      <x:c r="A35" s="89"/>
      <x:c r="B35" s="127" t="str">
        <x:v>F-030</x:v>
      </x:c>
      <x:c r="C35" s="131" t="str">
        <x:v>[Category]</x:v>
      </x:c>
      <x:c r="D35" s="131" t="str">
        <x:v>[Describe finding]</x:v>
      </x:c>
      <x:c r="E35" s="131" t="str">
        <x:v>[Evidence]</x:v>
      </x:c>
      <x:c r="F35" s="131" t="str">
        <x:v>Medium</x:v>
      </x:c>
      <x:c r="G35" s="131" t="str">
        <x:v>Medium</x:v>
      </x:c>
      <x:c r="H35" s="131" t="str">
        <x:v>[Action]</x:v>
      </x:c>
      <x:c r="I35" s="131" t="str">
        <x:v>[Owner]</x:v>
      </x:c>
      <x:c r="J35" s="131" t="str">
        <x:v>[Date]</x:v>
      </x:c>
      <x:c r="K35" s="131" t="str">
        <x:v>[Decision]</x:v>
      </x:c>
      <x:c r="L35" s="131" t="str">
        <x:v>Open</x:v>
      </x:c>
      <x:c r="M35" s="89"/>
      <x:c r="N35" s="89"/>
      <x:c r="O35"/>
      <x:c r="P35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C11:P11"/>
    <x:mergeCell ref="B13:P13"/>
    <x:mergeCell ref="B29:E29"/>
    <x:mergeCell ref="G29:J29"/>
    <x:mergeCell ref="B5:P5"/>
    <x:mergeCell ref="B6:P6"/>
    <x:mergeCell ref="B7:P7"/>
    <x:mergeCell ref="B2:H2"/>
    <x:mergeCell ref="B3:H3"/>
  </x:mergeCells>
  <x:dataValidations count="3">
    <x:dataValidation type="list" sqref="C9">
      <x:formula1>$B$16:$B$27</x:formula1>
    </x:dataValidation>
    <x:dataValidation type="list" sqref="G6:G35">
      <x:formula1>"Low,Medium,High,Critical"</x:formula1>
    </x:dataValidation>
    <x:dataValidation type="list" sqref="L6:L35">
      <x:formula1>"Open,Monitoring,Closed,Accepted"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.5" hidden="0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  <x:col min="2" max="2" width="43" hidden="0" customWidth="1"/>
    <x:col min="3" max="3" width="95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/>
      <x:c r="P1"/>
      <x:c r="Q1"/>
      <x:c r="R1"/>
      <x:c r="S1"/>
      <x:c r="T1"/>
    </x:row>
    <x:row r="2">
      <x:c r="A2" s="89"/>
      <x:c r="B2" s="90" t="str">
        <x:v>Due Diligence Findings and Decision Log — guidance</x:v>
      </x:c>
      <x:c r="C2" s="90"/>
      <x:c r="D2" s="90"/>
      <x:c r="E2" s="90">
        <x:f t="shared" ref="E2:E7" si="0">"Higher"</x:f>
      </x:c>
      <x:c r="F2" s="90">
        <x:f t="shared" ref="F2:F9" si="1">IF(E2="Higher",IF(B2&gt;=C2,"Favorable",IF(B2&gt;=C2*0.95,"Watch","Unfavorable")),IF(B2&lt;=C2,"Favorable",IF(B2&lt;=C2*1.05,"Watch","Unfavorable")))</x:f>
      </x:c>
      <x:c r="G2" s="90"/>
      <x:c r="H2" s="90"/>
      <x:c r="I2" s="89"/>
      <x:c r="J2" s="89"/>
      <x:c r="K2" s="89"/>
      <x:c r="L2" s="89"/>
      <x:c r="M2" s="89"/>
      <x:c r="N2" s="89"/>
      <x:c r="O2"/>
      <x:c r="P2"/>
      <x:c r="Q2"/>
      <x:c r="R2"/>
      <x:c r="S2"/>
      <x:c r="T2"/>
    </x:row>
    <x:row r="3">
      <x:c r="A3" s="89"/>
      <x:c r="B3" s="91" t="str">
        <x:v>Scope, use and source notes</x:v>
      </x:c>
      <x:c r="C3" s="91"/>
      <x:c r="D3" s="91"/>
      <x:c r="E3" s="91">
        <x:f t="shared" si="0"/>
      </x:c>
      <x:c r="F3" s="91">
        <x:f t="shared" si="1"/>
      </x:c>
      <x:c r="G3" s="91"/>
      <x:c r="H3" s="91"/>
      <x:c r="I3" s="89"/>
      <x:c r="J3" s="89"/>
      <x:c r="K3" s="89"/>
      <x:c r="L3" s="89"/>
      <x:c r="M3" s="89"/>
      <x:c r="N3" s="89"/>
      <x:c r="O3"/>
      <x:c r="P3"/>
      <x:c r="Q3"/>
      <x:c r="R3"/>
      <x:c r="S3"/>
      <x:c r="T3"/>
    </x:row>
    <x:row r="4">
      <x:c r="A4" s="89"/>
      <x:c r="B4" s="92"/>
      <x:c r="C4" s="92"/>
      <x:c r="D4" s="92"/>
      <x:c r="E4" s="92">
        <x:f t="shared" si="0"/>
      </x:c>
      <x:c r="F4" s="92">
        <x:f t="shared" si="1"/>
      </x:c>
      <x:c r="G4" s="92"/>
      <x:c r="H4" s="92"/>
      <x:c r="I4" s="92"/>
      <x:c r="J4" s="92"/>
      <x:c r="K4" s="92"/>
      <x:c r="L4" s="92"/>
      <x:c r="M4" s="92"/>
      <x:c r="N4" s="92"/>
      <x:c r="O4"/>
      <x:c r="P4"/>
      <x:c r="Q4"/>
      <x:c r="R4"/>
      <x:c r="S4"/>
      <x:c r="T4"/>
    </x:row>
    <x:row r="5">
      <x:c r="A5" s="89"/>
      <x:c r="B5" s="89"/>
      <x:c r="C5" s="89"/>
      <x:c r="D5" s="89"/>
      <x:c r="E5" s="89">
        <x:f t="shared" si="0"/>
      </x:c>
      <x:c r="F5" s="89">
        <x:f t="shared" si="1"/>
      </x:c>
      <x:c r="G5" s="89"/>
      <x:c r="H5" s="89"/>
      <x:c r="I5" s="89"/>
      <x:c r="J5" s="89"/>
      <x:c r="K5" s="89"/>
      <x:c r="L5" s="89"/>
      <x:c r="M5" s="89"/>
      <x:c r="N5" s="89"/>
      <x:c r="O5"/>
      <x:c r="P5"/>
      <x:c r="Q5"/>
      <x:c r="R5"/>
      <x:c r="S5"/>
      <x:c r="T5"/>
    </x:row>
    <x:row r="6" ht="23" customHeight="1">
      <x:c r="A6" s="89"/>
      <x:c r="B6" s="105" t="str">
        <x:v>How to use this workbook</x:v>
      </x:c>
      <x:c r="C6" s="105"/>
      <x:c r="D6" s="105"/>
      <x:c r="E6" s="105">
        <x:f t="shared" si="0"/>
      </x:c>
      <x:c r="F6" s="105">
        <x:f t="shared" si="1"/>
      </x:c>
      <x:c r="G6" s="105"/>
      <x:c r="H6" s="105"/>
      <x:c r="I6" s="89"/>
      <x:c r="J6" s="89"/>
      <x:c r="K6" s="89"/>
      <x:c r="L6" s="89"/>
      <x:c r="M6" s="89"/>
      <x:c r="N6" s="89"/>
      <x:c r="O6"/>
      <x:c r="P6"/>
      <x:c r="Q6"/>
      <x:c r="R6"/>
      <x:c r="S6"/>
      <x:c r="T6"/>
    </x:row>
    <x:row r="7" ht="30" customHeight="1">
      <x:c r="A7" s="89"/>
      <x:c r="B7" s="133" t="str">
        <x:v>1</x:v>
      </x:c>
      <x:c r="C7" s="134" t="str">
        <x:v>Replace yellow cells with facts from your transaction.</x:v>
      </x:c>
      <x:c r="D7" s="89"/>
      <x:c r="E7" s="89">
        <x:f t="shared" si="0"/>
      </x:c>
      <x:c r="F7" s="89">
        <x:f t="shared" si="1"/>
      </x:c>
      <x:c r="G7" s="89"/>
      <x:c r="H7" s="89"/>
      <x:c r="I7" s="89"/>
      <x:c r="J7" s="89"/>
      <x:c r="K7" s="89"/>
      <x:c r="L7" s="89"/>
      <x:c r="M7" s="89"/>
      <x:c r="N7" s="89"/>
      <x:c r="O7"/>
      <x:c r="P7"/>
      <x:c r="Q7"/>
      <x:c r="R7"/>
      <x:c r="S7"/>
      <x:c r="T7"/>
    </x:row>
    <x:row r="8" ht="30" customHeight="1">
      <x:c r="A8" s="89"/>
      <x:c r="B8" s="133" t="str">
        <x:v>2</x:v>
      </x:c>
      <x:c r="C8" s="134" t="str">
        <x:v>Identify the source or evidence for material entries. Receiving a file does not verify its contents.</x:v>
      </x:c>
      <x:c r="D8" s="89"/>
      <x:c r="E8" s="89"/>
      <x:c r="F8" s="89">
        <x:f t="shared" si="1"/>
      </x:c>
      <x:c r="G8" s="89"/>
      <x:c r="H8" s="89"/>
      <x:c r="I8" s="89"/>
      <x:c r="J8" s="89"/>
      <x:c r="K8" s="89"/>
      <x:c r="L8" s="89"/>
      <x:c r="M8" s="89"/>
      <x:c r="N8" s="89"/>
      <x:c r="O8"/>
      <x:c r="P8"/>
      <x:c r="Q8"/>
      <x:c r="R8"/>
      <x:c r="S8"/>
      <x:c r="T8"/>
    </x:row>
    <x:row r="9" ht="30" customHeight="1">
      <x:c r="A9" s="89"/>
      <x:c r="B9" s="133" t="str">
        <x:v>3</x:v>
      </x:c>
      <x:c r="C9" s="134" t="str">
        <x:v>Assign open items and dates. Keep adviser conclusions separate from buyer assumptions.</x:v>
      </x:c>
      <x:c r="D9" s="89"/>
      <x:c r="E9" s="89"/>
      <x:c r="F9" s="89">
        <x:f t="shared" si="1"/>
      </x:c>
      <x:c r="G9" s="89"/>
      <x:c r="H9" s="89"/>
      <x:c r="I9" s="89"/>
      <x:c r="J9" s="89"/>
      <x:c r="K9" s="89"/>
      <x:c r="L9" s="89"/>
      <x:c r="M9" s="89"/>
      <x:c r="N9" s="89"/>
      <x:c r="O9"/>
      <x:c r="P9"/>
      <x:c r="Q9"/>
      <x:c r="R9"/>
      <x:c r="S9"/>
      <x:c r="T9"/>
    </x:row>
    <x:row r="10" ht="30" customHeight="1">
      <x:c r="A10" s="89"/>
      <x:c r="B10" s="133" t="str">
        <x:v>4</x:v>
      </x:c>
      <x:c r="C10" s="134" t="str">
        <x:v>Retain version dates and do not overwrite previously approved records.</x:v>
      </x:c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/>
      <x:c r="P10"/>
      <x:c r="Q10"/>
      <x:c r="R10"/>
      <x:c r="S10"/>
      <x:c r="T10"/>
    </x:row>
    <x:row r="11" ht="30" customHeight="1">
      <x:c r="A11" s="89"/>
      <x:c r="B11" s="133" t="str">
        <x:v>5</x:v>
      </x:c>
      <x:c r="C11" s="134" t="str">
        <x:v>Have qualified advisers confirm legal, tax, accounting, valuation and financing matters.</x:v>
      </x:c>
      <x:c r="D11" s="89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/>
      <x:c r="P11"/>
      <x:c r="Q11"/>
      <x:c r="R11"/>
      <x:c r="S11"/>
      <x:c r="T11"/>
    </x:row>
    <x:row r="12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/>
      <x:c r="P12"/>
      <x:c r="Q12"/>
      <x:c r="R12"/>
      <x:c r="S12"/>
      <x:c r="T12"/>
    </x:row>
    <x:row r="13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/>
      <x:c r="P13"/>
      <x:c r="Q13"/>
      <x:c r="R13"/>
      <x:c r="S13"/>
      <x:c r="T13"/>
    </x:row>
    <x:row r="14" ht="23" customHeight="1">
      <x:c r="A14" s="89"/>
      <x:c r="B14" s="105" t="str">
        <x:v>Public reference sources</x:v>
      </x:c>
      <x:c r="C14" s="105"/>
      <x:c r="D14" s="105"/>
      <x:c r="E14" s="105"/>
      <x:c r="F14" s="105"/>
      <x:c r="G14" s="105"/>
      <x:c r="H14" s="105"/>
      <x:c r="I14" s="89"/>
      <x:c r="J14" s="89"/>
      <x:c r="K14" s="89"/>
      <x:c r="L14" s="89"/>
      <x:c r="M14" s="89"/>
      <x:c r="N14" s="89"/>
    </x:row>
    <x:row r="15" ht="34" customHeight="1">
      <x:c r="A15" s="89"/>
      <x:c r="B15" s="137" t="str">
        <x:v>BDC — Due diligence when buying a business</x:v>
      </x:c>
      <x:c r="C15" s="138" t="str">
        <x:v>https://www.bdc.ca/en/articles-tools/start-buy-business/buy-business/buying-business-conducting-due-diligence</x:v>
      </x:c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</x:row>
    <x:row r="16" ht="34" customHeight="1">
      <x:c r="A16" s="89"/>
      <x:c r="B16" s="137" t="str">
        <x:v>BDC — Buying a Business in Canada</x:v>
      </x:c>
      <x:c r="C16" s="138" t="str">
        <x:v>https://www.bdc.ca/en/articles-tools/entrepreneur-toolkit/guides/buying-business-canada</x:v>
      </x:c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</x:row>
    <x:row r="17" ht="34" customHeight="1">
      <x:c r="A17" s="89"/>
      <x:c r="B17" s="137" t="str">
        <x:v>CRA — Buying a business</x:v>
      </x:c>
      <x:c r="C17" s="138" t="str">
        <x:v>https://www.canada.ca/en/revenue-agency/services/tax/businesses/topics/business-registration/maintain-business/buying-business.html</x:v>
      </x:c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</x:row>
    <x:row r="18" ht="34" customHeight="1">
      <x:c r="A18" s="89"/>
      <x:c r="B18" s="137" t="str">
        <x:v>SBA — Plan your business / buy an existing business</x:v>
      </x:c>
      <x:c r="C18" s="138" t="str">
        <x:v>https://www.sba.gov/counseling/plan-your-business/</x:v>
      </x:c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B2:H2"/>
    <x:mergeCell ref="B3:H3"/>
    <x:mergeCell ref="B6:H6"/>
    <x:mergeCell ref="B14:H14"/>
  </x:mergeCells>
  <x:pageMargins left="0.7" right="0.7" top="0.75" bottom="0.75" header="0.3" footer="0.3"/>
</x:worksheet>
</file>