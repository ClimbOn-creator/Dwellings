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6fdf31824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d77523d414640cb"/>
    <x:sheet xmlns:r="http://schemas.openxmlformats.org/officeDocument/2006/relationships" name="Workspace" sheetId="2" r:id="Rc7f757e7fa4c4d3a"/>
    <x:sheet xmlns:r="http://schemas.openxmlformats.org/officeDocument/2006/relationships" name="Guidance" sheetId="3" r:id="R3305ef1ef993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3">
    <x:font>
      <x:sz val="11"/>
      <x:name val="Carlito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b/>
      <x:sz val="8"/>
      <x:color rgb="FFA7B4C2"/>
      <x:name val="Arial"/>
    </x:font>
    <x:font>
      <x:sz val="9"/>
      <x:color rgb="FFFFFFFF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</x:fills>
  <x:borders count="6">
    <x:border/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2" xfId="0" applyNumberFormat="1" applyFont="1" applyFill="1" applyBorder="1"/>
    <x:xf numFmtId="0" fontId="9" fillId="2" borderId="3" xfId="0" applyNumberFormat="1" applyFont="1" applyFill="1" applyBorder="1"/>
    <x:xf numFmtId="0" fontId="9" fillId="2" borderId="4" xfId="0" applyNumberFormat="1" applyFont="1" applyFill="1" applyBorder="1"/>
    <x:xf numFmtId="0" fontId="9" fillId="2" borderId="2" xfId="0" applyNumberFormat="1" applyFont="1" applyFill="1" applyBorder="1" applyAlignment="1">
      <x:alignment wrapText="1"/>
    </x:xf>
    <x:xf numFmtId="0" fontId="9" fillId="2" borderId="3" xfId="0" applyNumberFormat="1" applyFont="1" applyFill="1" applyBorder="1" applyAlignment="1">
      <x:alignment wrapText="1"/>
    </x:xf>
    <x:xf numFmtId="0" fontId="9" fillId="2" borderId="4" xfId="0" applyNumberFormat="1" applyFont="1" applyFill="1" applyBorder="1" applyAlignment="1">
      <x:alignment wrapText="1"/>
    </x:xf>
    <x:xf numFmtId="0" fontId="9" fillId="2" borderId="2" xfId="0" applyNumberFormat="1" applyFont="1" applyFill="1" applyBorder="1" applyAlignment="1">
      <x:alignment horizontal="center" wrapText="1"/>
    </x:xf>
    <x:xf numFmtId="0" fontId="9" fillId="2" borderId="3" xfId="0" applyNumberFormat="1" applyFont="1" applyFill="1" applyBorder="1" applyAlignment="1">
      <x:alignment horizontal="center" wrapText="1"/>
    </x:xf>
    <x:xf numFmtId="0" fontId="9" fillId="2" borderId="4" xfId="0" applyNumberFormat="1" applyFont="1" applyFill="1" applyBorder="1" applyAlignment="1">
      <x:alignment horizont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9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5fcbddf4241c5" /><Relationship Type="http://schemas.openxmlformats.org/officeDocument/2006/relationships/theme" Target="/xl/theme/theme1.xml" Id="Rf69fa84dec94477f" /><Relationship Type="http://schemas.openxmlformats.org/officeDocument/2006/relationships/sharedStrings" Target="/xl/sharedStrings.xml" Id="Rdcacab5bbb184a18" /><Relationship Type="http://schemas.openxmlformats.org/officeDocument/2006/relationships/worksheet" Target="/xl/worksheets/sheet1.xml" Id="R3d77523d414640cb" /><Relationship Type="http://schemas.openxmlformats.org/officeDocument/2006/relationships/worksheet" Target="/xl/worksheets/sheet2.xml" Id="Rc7f757e7fa4c4d3a" /><Relationship Type="http://schemas.openxmlformats.org/officeDocument/2006/relationships/worksheet" Target="/xl/worksheets/sheet3.xml" Id="R3305ef1ef99346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Document Request List and Evidence Register</x:v>
      </x:c>
      <x:c r="C2" s="2"/>
      <x:c r="D2" s="2"/>
      <x:c r="E2" s="2"/>
      <x:c r="F2" s="2"/>
      <x:c r="G2" s="2"/>
      <x:c r="H2" s="2"/>
      <x:c r="I2" s="1"/>
      <x:c r="J2" s="6" t="str">
        <x:v>EVIDENCE CONTROL</x:v>
      </x:c>
      <x:c r="K2" s="6"/>
      <x:c r="L2" s="6"/>
      <x:c r="M2" s="6"/>
      <x:c r="N2" s="6"/>
    </x:row>
    <x:row r="3">
      <x:c r="A3" s="1"/>
      <x:c r="B3" s="3" t="str">
        <x:v>Illustrative working file · Harbour Services Ltd. · CAD</x:v>
      </x:c>
      <x:c r="C3" s="3"/>
      <x:c r="D3" s="3"/>
      <x:c r="E3" s="3"/>
      <x:c r="F3" s="3"/>
      <x:c r="G3" s="3"/>
      <x:c r="H3" s="3"/>
      <x:c r="I3" s="1"/>
      <x:c r="J3" s="8" t="str">
        <x:v>Illustrative transaction · not seller evidence</x:v>
      </x:c>
      <x:c r="K3" s="8"/>
      <x:c r="L3" s="8"/>
      <x:c r="M3" s="8"/>
      <x:c r="N3" s="8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1"/>
      <x:c r="B6" s="11" t="str">
        <x:v>Illustrative figures only. Reviewer conclusions and source files must be obtained for an actual transaction.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6" t="str">
        <x:v>TOTAL REQUESTS</x:v>
      </x:c>
      <x:c r="C8" s="6"/>
      <x:c r="D8" s="6"/>
      <x:c r="E8" s="6"/>
      <x:c r="F8" s="6" t="str">
        <x:v>RECEIVED</x:v>
      </x:c>
      <x:c r="G8" s="6"/>
      <x:c r="H8" s="6"/>
      <x:c r="I8" s="6"/>
      <x:c r="J8" s="6" t="str">
        <x:v>OPEN OR OVERDUE</x:v>
      </x:c>
      <x:c r="K8" s="6"/>
      <x:c r="L8" s="6"/>
      <x:c r="M8" s="6"/>
      <x:c r="N8" s="1"/>
    </x:row>
    <x:row r="9">
      <x:c r="A9" s="1"/>
      <x:c r="B9" s="15" t="n">
        <x:f>COUNTA(Workspace!B6:B35)</x:f>
        <x:v>30</x:v>
      </x:c>
      <x:c r="C9" s="15"/>
      <x:c r="D9" s="15"/>
      <x:c r="E9" s="15"/>
      <x:c r="F9" s="15" t="n">
        <x:f>COUNTIF(Workspace!J6:J35,"Received")+COUNTIF(Workspace!J6:J35,"Reviewed")</x:f>
        <x:v>5</x:v>
      </x:c>
      <x:c r="G9" s="15"/>
      <x:c r="H9" s="15"/>
      <x:c r="I9" s="15"/>
      <x:c r="J9" s="15" t="n">
        <x:f>COUNTIF(Workspace!J6:J35,"Open")+COUNTIF(Workspace!J6:J35,"Overdue")</x:f>
        <x:v>9</x:v>
      </x:c>
      <x:c r="K9" s="15"/>
      <x:c r="L9" s="15"/>
      <x:c r="M9" s="15"/>
      <x:c r="N9" s="1"/>
    </x:row>
    <x:row r="10">
      <x:c r="A10" s="1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"/>
    </x:row>
    <x:row r="11">
      <x:c r="A11" s="1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7" t="str">
        <x:v>Status summary</x:v>
      </x:c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"/>
    </x:row>
    <x:row r="15" ht="30" customHeight="1">
      <x:c r="A15" s="1"/>
      <x:c r="B15" s="28" t="str">
        <x:v>Status</x:v>
      </x:c>
      <x:c r="C15" s="29" t="str">
        <x:v>Count</x:v>
      </x:c>
      <x:c r="D15" s="30" t="str">
        <x:v>Use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35" t="str">
        <x:v>Open</x:v>
      </x:c>
      <x:c r="C16" s="37" t="n">
        <x:f>COUNTIF(Workspace!$J$6:$J$35,B16)</x:f>
        <x:v>8</x:v>
      </x:c>
      <x:c r="D16" s="35" t="str">
        <x:v>Requested; not yet received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35" t="str">
        <x:v>Received</x:v>
      </x:c>
      <x:c r="C17" s="37" t="n">
        <x:f>COUNTIF(Workspace!$J$6:$J$35,B17)</x:f>
        <x:v>3</x:v>
      </x:c>
      <x:c r="D17" s="35" t="str">
        <x:v>File received; review pending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35" t="str">
        <x:v>Reviewed</x:v>
      </x:c>
      <x:c r="C18" s="37" t="n">
        <x:f>COUNTIF(Workspace!$J$6:$J$35,B18)</x:f>
        <x:v>2</x:v>
      </x:c>
      <x:c r="D18" s="35" t="str">
        <x:v>Review completed and notes recorded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36" t="str">
        <x:v>Overdue</x:v>
      </x:c>
      <x:c r="C19" s="38" t="n">
        <x:f>COUNTIF(Workspace!$J$6:$J$35,B19)</x:f>
        <x:v>1</x:v>
      </x:c>
      <x:c r="D19" s="36" t="str">
        <x:v>Due date passed; follow up required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.5" hidden="0" customWidth="1"/>
    <x:col min="2" max="2" width="12" hidden="0" customWidth="1"/>
    <x:col min="3" max="3" width="16" hidden="0" customWidth="1"/>
    <x:col min="4" max="4" width="30" hidden="0" customWidth="1"/>
    <x:col min="5" max="5" width="14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6" hidden="0" customWidth="1"/>
    <x:col min="12" max="12" width="26" hidden="0" customWidth="1"/>
    <x:col min="13" max="13" width="30" hidden="0" customWidth="1"/>
    <x:col min="14" max="14" width="18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Evidence register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Illustrative working file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30" customHeight="1">
      <x:c r="A5" s="1"/>
      <x:c r="B5" s="28" t="str">
        <x:v>Request ID</x:v>
      </x:c>
      <x:c r="C5" s="29" t="str">
        <x:v>Category</x:v>
      </x:c>
      <x:c r="D5" s="29" t="str">
        <x:v>Document / evidence</x:v>
      </x:c>
      <x:c r="E5" s="29" t="str">
        <x:v>Period</x:v>
      </x:c>
      <x:c r="F5" s="29" t="str">
        <x:v>Requested from</x:v>
      </x:c>
      <x:c r="G5" s="29" t="str">
        <x:v>Request date</x:v>
      </x:c>
      <x:c r="H5" s="29" t="str">
        <x:v>Due date</x:v>
      </x:c>
      <x:c r="I5" s="29" t="str">
        <x:v>Received date</x:v>
      </x:c>
      <x:c r="J5" s="29" t="str">
        <x:v>Status</x:v>
      </x:c>
      <x:c r="K5" s="29" t="str">
        <x:v>Review owner</x:v>
      </x:c>
      <x:c r="L5" s="29" t="str">
        <x:v>Evidence location</x:v>
      </x:c>
      <x:c r="M5" s="29" t="str">
        <x:v>Follow-up / finding</x:v>
      </x:c>
      <x:c r="N5" s="30" t="str">
        <x:v>Decision impact</x:v>
      </x:c>
    </x:row>
    <x:row r="6">
      <x:c r="A6" s="1"/>
      <x:c r="B6" s="35" t="str">
        <x:v>REQ-001</x:v>
      </x:c>
      <x:c r="C6" s="35" t="str">
        <x:v>Financial</x:v>
      </x:c>
      <x:c r="D6" s="35" t="str">
        <x:v>Year-end financial statements</x:v>
      </x:c>
      <x:c r="E6" s="35" t="str">
        <x:v>FY 2023–FY 2025</x:v>
      </x:c>
      <x:c r="F6" s="35" t="str">
        <x:v>Seller CFO</x:v>
      </x:c>
      <x:c r="G6" s="39" t="n">
        <x:v>46275</x:v>
      </x:c>
      <x:c r="H6" s="39" t="n">
        <x:v>46285</x:v>
      </x:c>
      <x:c r="I6" s="35" t="n">
        <x:v>46283</x:v>
      </x:c>
      <x:c r="J6" s="35" t="str">
        <x:v>Reviewed</x:v>
      </x:c>
      <x:c r="K6" s="35" t="str">
        <x:v>Buyer accountant</x:v>
      </x:c>
      <x:c r="L6" s="35" t="str">
        <x:v>Data room / Finance / FS</x:v>
      </x:c>
      <x:c r="M6" s="35" t="str">
        <x:v>Reconcile to tax filings</x:v>
      </x:c>
      <x:c r="N6" s="35" t="str">
        <x:v>High</x:v>
      </x:c>
    </x:row>
    <x:row r="7">
      <x:c r="A7" s="1"/>
      <x:c r="B7" s="35" t="str">
        <x:v>REQ-002</x:v>
      </x:c>
      <x:c r="C7" s="35" t="str">
        <x:v>Tax</x:v>
      </x:c>
      <x:c r="D7" s="35" t="str">
        <x:v>Corporate income tax returns</x:v>
      </x:c>
      <x:c r="E7" s="35" t="str">
        <x:v>FY 2023–FY 2025</x:v>
      </x:c>
      <x:c r="F7" s="35" t="str">
        <x:v>Seller CFO</x:v>
      </x:c>
      <x:c r="G7" s="39" t="n">
        <x:v>46275</x:v>
      </x:c>
      <x:c r="H7" s="39" t="n">
        <x:v>46285</x:v>
      </x:c>
      <x:c r="I7" s="35" t="n">
        <x:v>46284</x:v>
      </x:c>
      <x:c r="J7" s="35" t="str">
        <x:v>Received</x:v>
      </x:c>
      <x:c r="K7" s="35" t="str">
        <x:v>Buyer accountant</x:v>
      </x:c>
      <x:c r="L7" s="35" t="str">
        <x:v>Data room / Tax</x:v>
      </x:c>
      <x:c r="M7" s="35" t="str">
        <x:v>Review assessments and balances</x:v>
      </x:c>
      <x:c r="N7" s="35" t="str">
        <x:v>High</x:v>
      </x:c>
    </x:row>
    <x:row r="8">
      <x:c r="A8" s="1"/>
      <x:c r="B8" s="35" t="str">
        <x:v>REQ-003</x:v>
      </x:c>
      <x:c r="C8" s="35" t="str">
        <x:v>Commercial</x:v>
      </x:c>
      <x:c r="D8" s="35" t="str">
        <x:v>Sales by customer and contract schedule</x:v>
      </x:c>
      <x:c r="E8" s="35" t="str">
        <x:v>36 months</x:v>
      </x:c>
      <x:c r="F8" s="35" t="str">
        <x:v>Sales lead</x:v>
      </x:c>
      <x:c r="G8" s="39" t="n">
        <x:v>46275</x:v>
      </x:c>
      <x:c r="H8" s="39" t="n">
        <x:v>46283</x:v>
      </x:c>
      <x:c r="I8" s="35"/>
      <x:c r="J8" s="35" t="str">
        <x:v>Overdue</x:v>
      </x:c>
      <x:c r="K8" s="35" t="str">
        <x:v>Buyer</x:v>
      </x:c>
      <x:c r="L8" s="35" t="str"/>
      <x:c r="M8" s="35" t="str">
        <x:v>Follow up; top customer renewal date unknown</x:v>
      </x:c>
      <x:c r="N8" s="35" t="str">
        <x:v>High</x:v>
      </x:c>
    </x:row>
    <x:row r="9">
      <x:c r="A9" s="1"/>
      <x:c r="B9" s="35" t="str">
        <x:v>REQ-004</x:v>
      </x:c>
      <x:c r="C9" s="35" t="str">
        <x:v>Legal</x:v>
      </x:c>
      <x:c r="D9" s="35" t="str">
        <x:v>Lease and amendments</x:v>
      </x:c>
      <x:c r="E9" s="35" t="str">
        <x:v>Current</x:v>
      </x:c>
      <x:c r="F9" s="35" t="str">
        <x:v>Seller counsel</x:v>
      </x:c>
      <x:c r="G9" s="39" t="n">
        <x:v>46276</x:v>
      </x:c>
      <x:c r="H9" s="39" t="n">
        <x:v>46286</x:v>
      </x:c>
      <x:c r="I9" s="35" t="n">
        <x:v>46285</x:v>
      </x:c>
      <x:c r="J9" s="35" t="str">
        <x:v>Reviewed</x:v>
      </x:c>
      <x:c r="K9" s="35" t="str">
        <x:v>Buyer counsel</x:v>
      </x:c>
      <x:c r="L9" s="35" t="str">
        <x:v>Data room / Legal / Lease</x:v>
      </x:c>
      <x:c r="M9" s="35" t="str">
        <x:v>Landlord consent appears required</x:v>
      </x:c>
      <x:c r="N9" s="35" t="str">
        <x:v>High</x:v>
      </x:c>
    </x:row>
    <x:row r="10">
      <x:c r="A10" s="1"/>
      <x:c r="B10" s="35" t="str">
        <x:v>REQ-005</x:v>
      </x:c>
      <x:c r="C10" s="35" t="str">
        <x:v>Operations</x:v>
      </x:c>
      <x:c r="D10" s="35" t="str">
        <x:v>Equipment and vehicle register</x:v>
      </x:c>
      <x:c r="E10" s="35" t="str">
        <x:v>Current</x:v>
      </x:c>
      <x:c r="F10" s="35" t="str">
        <x:v>Operations manager</x:v>
      </x:c>
      <x:c r="G10" s="39" t="n">
        <x:v>46277</x:v>
      </x:c>
      <x:c r="H10" s="39" t="n">
        <x:v>46288</x:v>
      </x:c>
      <x:c r="I10" s="35" t="n">
        <x:v>46287</x:v>
      </x:c>
      <x:c r="J10" s="35" t="str">
        <x:v>Received</x:v>
      </x:c>
      <x:c r="K10" s="35" t="str">
        <x:v>Buyer operations</x:v>
      </x:c>
      <x:c r="L10" s="35" t="str">
        <x:v>Data room / Ops / Assets</x:v>
      </x:c>
      <x:c r="M10" s="35" t="str">
        <x:v>Condition inspection pending</x:v>
      </x:c>
      <x:c r="N10" s="35" t="str">
        <x:v>Medium</x:v>
      </x:c>
    </x:row>
    <x:row r="11">
      <x:c r="A11" s="1"/>
      <x:c r="B11" s="35" t="str">
        <x:v>REQ-006</x:v>
      </x:c>
      <x:c r="C11" s="35" t="str">
        <x:v>People</x:v>
      </x:c>
      <x:c r="D11" s="35" t="str">
        <x:v>Employee roster and compensation</x:v>
      </x:c>
      <x:c r="E11" s="35" t="str">
        <x:v>Current</x:v>
      </x:c>
      <x:c r="F11" s="35" t="str">
        <x:v>Seller CFO</x:v>
      </x:c>
      <x:c r="G11" s="39" t="n">
        <x:v>46277</x:v>
      </x:c>
      <x:c r="H11" s="39" t="n">
        <x:v>46288</x:v>
      </x:c>
      <x:c r="I11" s="35"/>
      <x:c r="J11" s="35" t="str">
        <x:v>Open</x:v>
      </x:c>
      <x:c r="K11" s="35" t="str">
        <x:v>Buyer counsel</x:v>
      </x:c>
      <x:c r="L11" s="35" t="str"/>
      <x:c r="M11" s="35" t="str">
        <x:v>Limit personal information; staged access</x:v>
      </x:c>
      <x:c r="N11" s="35" t="str">
        <x:v>Medium</x:v>
      </x:c>
    </x:row>
    <x:row r="12">
      <x:c r="A12" s="1"/>
      <x:c r="B12" s="35" t="str">
        <x:v>REQ-007</x:v>
      </x:c>
      <x:c r="C12" s="35" t="str">
        <x:v>Debt</x:v>
      </x:c>
      <x:c r="D12" s="35" t="str">
        <x:v>Debt, liens and payout letters</x:v>
      </x:c>
      <x:c r="E12" s="35" t="str">
        <x:v>Current</x:v>
      </x:c>
      <x:c r="F12" s="35" t="str">
        <x:v>Seller CFO</x:v>
      </x:c>
      <x:c r="G12" s="39" t="n">
        <x:v>46278</x:v>
      </x:c>
      <x:c r="H12" s="39" t="n">
        <x:v>46290</x:v>
      </x:c>
      <x:c r="I12" s="35"/>
      <x:c r="J12" s="35" t="str">
        <x:v>Open</x:v>
      </x:c>
      <x:c r="K12" s="35" t="str">
        <x:v>Buyer counsel</x:v>
      </x:c>
      <x:c r="L12" s="35" t="str"/>
      <x:c r="M12" s="35" t="str">
        <x:v>Need current payouts before closing</x:v>
      </x:c>
      <x:c r="N12" s="35" t="str">
        <x:v>High</x:v>
      </x:c>
    </x:row>
    <x:row r="13">
      <x:c r="A13" s="1"/>
      <x:c r="B13" s="35" t="str">
        <x:v>REQ-008</x:v>
      </x:c>
      <x:c r="C13" s="35" t="str">
        <x:v>Insurance</x:v>
      </x:c>
      <x:c r="D13" s="35" t="str">
        <x:v>Policies and claims history</x:v>
      </x:c>
      <x:c r="E13" s="35" t="str">
        <x:v>3 years</x:v>
      </x:c>
      <x:c r="F13" s="35" t="str">
        <x:v>Broker</x:v>
      </x:c>
      <x:c r="G13" s="39" t="n">
        <x:v>46278</x:v>
      </x:c>
      <x:c r="H13" s="39" t="n">
        <x:v>46290</x:v>
      </x:c>
      <x:c r="I13" s="35" t="n">
        <x:v>46289</x:v>
      </x:c>
      <x:c r="J13" s="35" t="str">
        <x:v>Received</x:v>
      </x:c>
      <x:c r="K13" s="35" t="str">
        <x:v>Buyer</x:v>
      </x:c>
      <x:c r="L13" s="35" t="str">
        <x:v>Data room / Insurance</x:v>
      </x:c>
      <x:c r="M13" s="35" t="str">
        <x:v>Coverage review pending</x:v>
      </x:c>
      <x:c r="N13" s="35" t="str">
        <x:v>Medium</x:v>
      </x:c>
    </x:row>
    <x:row r="14">
      <x:c r="A14" s="1"/>
      <x:c r="B14" s="35" t="str">
        <x:v>REQ-009</x:v>
      </x:c>
      <x:c r="C14" s="35" t="str">
        <x:v>Regulatory</x:v>
      </x:c>
      <x:c r="D14" s="35" t="str">
        <x:v>Trade licences and inspection reports</x:v>
      </x:c>
      <x:c r="E14" s="35" t="str">
        <x:v>Current and 3 years</x:v>
      </x:c>
      <x:c r="F14" s="35" t="str">
        <x:v>Seller operations</x:v>
      </x:c>
      <x:c r="G14" s="39" t="n">
        <x:v>46279</x:v>
      </x:c>
      <x:c r="H14" s="39" t="n">
        <x:v>46291</x:v>
      </x:c>
      <x:c r="I14" s="35"/>
      <x:c r="J14" s="35" t="str">
        <x:v>Open</x:v>
      </x:c>
      <x:c r="K14" s="35" t="str">
        <x:v>Buyer counsel</x:v>
      </x:c>
      <x:c r="L14" s="35" t="str"/>
      <x:c r="M14" s="35" t="str">
        <x:v>Confirm post-close licence path</x:v>
      </x:c>
      <x:c r="N14" s="35" t="str">
        <x:v>High</x:v>
      </x:c>
    </x:row>
    <x:row r="15">
      <x:c r="A15" s="1"/>
      <x:c r="B15" s="35" t="str">
        <x:v>REQ-010</x:v>
      </x:c>
      <x:c r="C15" s="35" t="str">
        <x:v>People</x:v>
      </x:c>
      <x:c r="D15" s="35" t="str">
        <x:v>Employment agreements and accrued leave</x:v>
      </x:c>
      <x:c r="E15" s="35" t="str">
        <x:v>Current</x:v>
      </x:c>
      <x:c r="F15" s="35" t="str">
        <x:v>Seller counsel</x:v>
      </x:c>
      <x:c r="G15" s="39" t="n">
        <x:v>46279</x:v>
      </x:c>
      <x:c r="H15" s="39" t="n">
        <x:v>46292</x:v>
      </x:c>
      <x:c r="I15" s="35"/>
      <x:c r="J15" s="35" t="str">
        <x:v>Open</x:v>
      </x:c>
      <x:c r="K15" s="35" t="str">
        <x:v>Buyer counsel</x:v>
      </x:c>
      <x:c r="L15" s="35" t="str"/>
      <x:c r="M15" s="35" t="str">
        <x:v>Review change-of-control terms</x:v>
      </x:c>
      <x:c r="N15" s="35" t="str">
        <x:v>High</x:v>
      </x:c>
    </x:row>
    <x:row r="16">
      <x:c r="A16" s="1"/>
      <x:c r="B16" s="35" t="str">
        <x:v>REQ-011</x:v>
      </x:c>
      <x:c r="C16" s="35" t="str">
        <x:v>Commercial</x:v>
      </x:c>
      <x:c r="D16" s="35" t="str">
        <x:v>Top 20 customer invoices and renewals</x:v>
      </x:c>
      <x:c r="E16" s="35" t="str">
        <x:v>Trailing 24 months</x:v>
      </x:c>
      <x:c r="F16" s="35" t="str">
        <x:v>Seller CFO</x:v>
      </x:c>
      <x:c r="G16" s="39" t="n">
        <x:v>46279</x:v>
      </x:c>
      <x:c r="H16" s="39" t="n">
        <x:v>46291</x:v>
      </x:c>
      <x:c r="I16" s="35"/>
      <x:c r="J16" s="35" t="str">
        <x:v>Open</x:v>
      </x:c>
      <x:c r="K16" s="35" t="str">
        <x:v>Buyer accountant</x:v>
      </x:c>
      <x:c r="L16" s="35" t="str"/>
      <x:c r="M16" s="35" t="str">
        <x:v>Reconcile sales concentration</x:v>
      </x:c>
      <x:c r="N16" s="35" t="str">
        <x:v>High</x:v>
      </x:c>
    </x:row>
    <x:row r="17">
      <x:c r="A17" s="1"/>
      <x:c r="B17" s="35" t="str">
        <x:v>REQ-012</x:v>
      </x:c>
      <x:c r="C17" s="35" t="str">
        <x:v>Operations</x:v>
      </x:c>
      <x:c r="D17" s="35" t="str">
        <x:v>Preventive maintenance and capex history</x:v>
      </x:c>
      <x:c r="E17" s="35" t="str">
        <x:v>FY 2023–FY 2025</x:v>
      </x:c>
      <x:c r="F17" s="35" t="str">
        <x:v>Seller operations</x:v>
      </x:c>
      <x:c r="G17" s="39" t="n">
        <x:v>46279</x:v>
      </x:c>
      <x:c r="H17" s="39" t="n">
        <x:v>46294</x:v>
      </x:c>
      <x:c r="I17" s="35"/>
      <x:c r="J17" s="35" t="str">
        <x:v>Open</x:v>
      </x:c>
      <x:c r="K17" s="35" t="str">
        <x:v>Buyer operations</x:v>
      </x:c>
      <x:c r="L17" s="35" t="str"/>
      <x:c r="M17" s="35" t="str">
        <x:v>Inspect deferred maintenance</x:v>
      </x:c>
      <x:c r="N17" s="35" t="str">
        <x:v>Medium</x:v>
      </x:c>
    </x:row>
    <x:row r="18">
      <x:c r="A18" s="1"/>
      <x:c r="B18" s="35" t="str">
        <x:v>REQ-013</x:v>
      </x:c>
      <x:c r="C18" s="35" t="str">
        <x:v>Legal</x:v>
      </x:c>
      <x:c r="D18" s="35" t="str">
        <x:v>Material supplier agreements</x:v>
      </x:c>
      <x:c r="E18" s="35" t="str">
        <x:v>Current</x:v>
      </x:c>
      <x:c r="F18" s="35" t="str">
        <x:v>Seller counsel</x:v>
      </x:c>
      <x:c r="G18" s="39" t="n">
        <x:v>46279</x:v>
      </x:c>
      <x:c r="H18" s="39" t="n">
        <x:v>46294</x:v>
      </x:c>
      <x:c r="I18" s="35"/>
      <x:c r="J18" s="35" t="str">
        <x:v>Open</x:v>
      </x:c>
      <x:c r="K18" s="35" t="str">
        <x:v>Buyer counsel</x:v>
      </x:c>
      <x:c r="L18" s="35" t="str"/>
      <x:c r="M18" s="35" t="str">
        <x:v>Review assignment and pricing</x:v>
      </x:c>
      <x:c r="N18" s="35" t="str">
        <x:v>Medium</x:v>
      </x:c>
    </x:row>
    <x:row r="19">
      <x:c r="A19" s="1"/>
      <x:c r="B19" s="35" t="str">
        <x:v>REQ-014</x:v>
      </x:c>
      <x:c r="C19" s="35" t="str">
        <x:v>Financial</x:v>
      </x:c>
      <x:c r="D19" s="35" t="str">
        <x:v>Monthly trial balances and bank reconciliations</x:v>
      </x:c>
      <x:c r="E19" s="35" t="str">
        <x:v>FY 2025 and YTD 2026</x:v>
      </x:c>
      <x:c r="F19" s="35" t="str">
        <x:v>Seller CFO</x:v>
      </x:c>
      <x:c r="G19" s="39" t="n">
        <x:v>46280</x:v>
      </x:c>
      <x:c r="H19" s="39" t="n">
        <x:v>46295</x:v>
      </x:c>
      <x:c r="I19" s="35"/>
      <x:c r="J19" s="35" t="str">
        <x:v>Open</x:v>
      </x:c>
      <x:c r="K19" s="35" t="str">
        <x:v>Buyer accountant</x:v>
      </x:c>
      <x:c r="L19" s="35" t="str"/>
      <x:c r="M19" s="35" t="str">
        <x:v>Bridge to statements and tax</x:v>
      </x:c>
      <x:c r="N19" s="35" t="str">
        <x:v>High</x:v>
      </x:c>
    </x:row>
    <x:row r="20">
      <x:c r="A20" s="1"/>
      <x:c r="B20" s="35" t="str"/>
      <x:c r="C20" s="35" t="str"/>
      <x:c r="D20" s="35" t="str"/>
      <x:c r="E20" s="35" t="str"/>
      <x:c r="F20" s="35" t="str"/>
      <x:c r="G20" s="39" t="str"/>
      <x:c r="H20" s="39" t="str"/>
      <x:c r="I20" s="35" t="str"/>
      <x:c r="J20" s="35" t="str"/>
      <x:c r="K20" s="35" t="str"/>
      <x:c r="L20" s="35" t="str"/>
      <x:c r="M20" s="35" t="str"/>
      <x:c r="N20" s="35" t="str"/>
    </x:row>
    <x:row r="21">
      <x:c r="A21" s="1"/>
      <x:c r="B21" s="35" t="str"/>
      <x:c r="C21" s="35" t="str"/>
      <x:c r="D21" s="35" t="str"/>
      <x:c r="E21" s="35" t="str"/>
      <x:c r="F21" s="35" t="str"/>
      <x:c r="G21" s="39" t="str"/>
      <x:c r="H21" s="39" t="str"/>
      <x:c r="I21" s="35" t="str"/>
      <x:c r="J21" s="35" t="str"/>
      <x:c r="K21" s="35" t="str"/>
      <x:c r="L21" s="35" t="str"/>
      <x:c r="M21" s="35" t="str"/>
      <x:c r="N21" s="35" t="str"/>
    </x:row>
    <x:row r="22">
      <x:c r="A22" s="1"/>
      <x:c r="B22" s="35" t="str"/>
      <x:c r="C22" s="35" t="str"/>
      <x:c r="D22" s="35" t="str"/>
      <x:c r="E22" s="35" t="str"/>
      <x:c r="F22" s="35" t="str"/>
      <x:c r="G22" s="39" t="str"/>
      <x:c r="H22" s="39" t="str"/>
      <x:c r="I22" s="35" t="str"/>
      <x:c r="J22" s="35" t="str"/>
      <x:c r="K22" s="35" t="str"/>
      <x:c r="L22" s="35" t="str"/>
      <x:c r="M22" s="35" t="str"/>
      <x:c r="N22" s="35" t="str"/>
    </x:row>
    <x:row r="23">
      <x:c r="A23" s="1"/>
      <x:c r="B23" s="35" t="str"/>
      <x:c r="C23" s="35" t="str"/>
      <x:c r="D23" s="35" t="str"/>
      <x:c r="E23" s="35" t="str"/>
      <x:c r="F23" s="35" t="str"/>
      <x:c r="G23" s="39" t="str"/>
      <x:c r="H23" s="39" t="str"/>
      <x:c r="I23" s="35" t="str"/>
      <x:c r="J23" s="35" t="str"/>
      <x:c r="K23" s="35" t="str"/>
      <x:c r="L23" s="35" t="str"/>
      <x:c r="M23" s="35" t="str"/>
      <x:c r="N23" s="35" t="str"/>
    </x:row>
    <x:row r="24">
      <x:c r="A24" s="1"/>
      <x:c r="B24" s="35" t="str"/>
      <x:c r="C24" s="35" t="str"/>
      <x:c r="D24" s="35" t="str"/>
      <x:c r="E24" s="35" t="str"/>
      <x:c r="F24" s="35" t="str"/>
      <x:c r="G24" s="39" t="str"/>
      <x:c r="H24" s="39" t="str"/>
      <x:c r="I24" s="35" t="str"/>
      <x:c r="J24" s="35" t="str"/>
      <x:c r="K24" s="35" t="str"/>
      <x:c r="L24" s="35" t="str"/>
      <x:c r="M24" s="35" t="str"/>
      <x:c r="N24" s="35" t="str"/>
    </x:row>
    <x:row r="25">
      <x:c r="A25" s="1"/>
      <x:c r="B25" s="35" t="str"/>
      <x:c r="C25" s="35" t="str"/>
      <x:c r="D25" s="35" t="str"/>
      <x:c r="E25" s="35" t="str"/>
      <x:c r="F25" s="35" t="str"/>
      <x:c r="G25" s="39" t="str"/>
      <x:c r="H25" s="39" t="str"/>
      <x:c r="I25" s="35" t="str"/>
      <x:c r="J25" s="35" t="str"/>
      <x:c r="K25" s="35" t="str"/>
      <x:c r="L25" s="35" t="str"/>
      <x:c r="M25" s="35" t="str"/>
      <x:c r="N25" s="35" t="str"/>
    </x:row>
    <x:row r="26">
      <x:c r="A26" s="1"/>
      <x:c r="B26" s="35" t="str"/>
      <x:c r="C26" s="35" t="str"/>
      <x:c r="D26" s="35" t="str"/>
      <x:c r="E26" s="35" t="str"/>
      <x:c r="F26" s="35" t="str"/>
      <x:c r="G26" s="39" t="str"/>
      <x:c r="H26" s="39" t="str"/>
      <x:c r="I26" s="35" t="str"/>
      <x:c r="J26" s="35" t="str"/>
      <x:c r="K26" s="35" t="str"/>
      <x:c r="L26" s="35" t="str"/>
      <x:c r="M26" s="35" t="str"/>
      <x:c r="N26" s="35" t="str"/>
    </x:row>
    <x:row r="27">
      <x:c r="A27" s="1"/>
      <x:c r="B27" s="35" t="str"/>
      <x:c r="C27" s="35" t="str"/>
      <x:c r="D27" s="35" t="str"/>
      <x:c r="E27" s="35" t="str"/>
      <x:c r="F27" s="35" t="str"/>
      <x:c r="G27" s="39" t="str"/>
      <x:c r="H27" s="39" t="str"/>
      <x:c r="I27" s="35" t="str"/>
      <x:c r="J27" s="35" t="str"/>
      <x:c r="K27" s="35" t="str"/>
      <x:c r="L27" s="35" t="str"/>
      <x:c r="M27" s="35" t="str"/>
      <x:c r="N27" s="35" t="str"/>
    </x:row>
    <x:row r="28">
      <x:c r="A28" s="1"/>
      <x:c r="B28" s="35" t="str"/>
      <x:c r="C28" s="35" t="str"/>
      <x:c r="D28" s="35" t="str"/>
      <x:c r="E28" s="35" t="str"/>
      <x:c r="F28" s="35" t="str"/>
      <x:c r="G28" s="39" t="str"/>
      <x:c r="H28" s="39" t="str"/>
      <x:c r="I28" s="35" t="str"/>
      <x:c r="J28" s="35" t="str"/>
      <x:c r="K28" s="35" t="str"/>
      <x:c r="L28" s="35" t="str"/>
      <x:c r="M28" s="35" t="str"/>
      <x:c r="N28" s="35" t="str"/>
    </x:row>
    <x:row r="29">
      <x:c r="A29" s="1"/>
      <x:c r="B29" s="35" t="str"/>
      <x:c r="C29" s="35" t="str"/>
      <x:c r="D29" s="35" t="str"/>
      <x:c r="E29" s="35" t="str"/>
      <x:c r="F29" s="35" t="str"/>
      <x:c r="G29" s="39" t="str"/>
      <x:c r="H29" s="39" t="str"/>
      <x:c r="I29" s="35" t="str"/>
      <x:c r="J29" s="35" t="str"/>
      <x:c r="K29" s="35" t="str"/>
      <x:c r="L29" s="35" t="str"/>
      <x:c r="M29" s="35" t="str"/>
      <x:c r="N29" s="35" t="str"/>
    </x:row>
    <x:row r="30">
      <x:c r="A30" s="1"/>
      <x:c r="B30" s="35" t="str"/>
      <x:c r="C30" s="35" t="str"/>
      <x:c r="D30" s="35" t="str"/>
      <x:c r="E30" s="35" t="str"/>
      <x:c r="F30" s="35" t="str"/>
      <x:c r="G30" s="39" t="str"/>
      <x:c r="H30" s="39" t="str"/>
      <x:c r="I30" s="35" t="str"/>
      <x:c r="J30" s="35" t="str"/>
      <x:c r="K30" s="35" t="str"/>
      <x:c r="L30" s="35" t="str"/>
      <x:c r="M30" s="35" t="str"/>
      <x:c r="N30" s="35" t="str"/>
    </x:row>
    <x:row r="31">
      <x:c r="A31" s="1"/>
      <x:c r="B31" s="35" t="str"/>
      <x:c r="C31" s="35" t="str"/>
      <x:c r="D31" s="35" t="str"/>
      <x:c r="E31" s="35" t="str"/>
      <x:c r="F31" s="35" t="str"/>
      <x:c r="G31" s="39" t="str"/>
      <x:c r="H31" s="39" t="str"/>
      <x:c r="I31" s="35" t="str"/>
      <x:c r="J31" s="35" t="str"/>
      <x:c r="K31" s="35" t="str"/>
      <x:c r="L31" s="35" t="str"/>
      <x:c r="M31" s="35" t="str"/>
      <x:c r="N31" s="35" t="str"/>
    </x:row>
    <x:row r="32">
      <x:c r="A32" s="1"/>
      <x:c r="B32" s="35" t="str"/>
      <x:c r="C32" s="35" t="str"/>
      <x:c r="D32" s="35" t="str"/>
      <x:c r="E32" s="35" t="str"/>
      <x:c r="F32" s="35" t="str"/>
      <x:c r="G32" s="39" t="str"/>
      <x:c r="H32" s="39" t="str"/>
      <x:c r="I32" s="35" t="str"/>
      <x:c r="J32" s="35" t="str"/>
      <x:c r="K32" s="35" t="str"/>
      <x:c r="L32" s="35" t="str"/>
      <x:c r="M32" s="35" t="str"/>
      <x:c r="N32" s="35" t="str"/>
    </x:row>
    <x:row r="33">
      <x:c r="A33" s="1"/>
      <x:c r="B33" s="35" t="str"/>
      <x:c r="C33" s="35" t="str"/>
      <x:c r="D33" s="35" t="str"/>
      <x:c r="E33" s="35" t="str"/>
      <x:c r="F33" s="35" t="str"/>
      <x:c r="G33" s="39" t="str"/>
      <x:c r="H33" s="39" t="str"/>
      <x:c r="I33" s="35" t="str"/>
      <x:c r="J33" s="35" t="str"/>
      <x:c r="K33" s="35" t="str"/>
      <x:c r="L33" s="35" t="str"/>
      <x:c r="M33" s="35" t="str"/>
      <x:c r="N33" s="35" t="str"/>
    </x:row>
    <x:row r="34">
      <x:c r="A34" s="1"/>
      <x:c r="B34" s="35" t="str"/>
      <x:c r="C34" s="35" t="str"/>
      <x:c r="D34" s="35" t="str"/>
      <x:c r="E34" s="35" t="str"/>
      <x:c r="F34" s="35" t="str"/>
      <x:c r="G34" s="39" t="str"/>
      <x:c r="H34" s="39" t="str"/>
      <x:c r="I34" s="35" t="str"/>
      <x:c r="J34" s="35" t="str"/>
      <x:c r="K34" s="35" t="str"/>
      <x:c r="L34" s="35" t="str"/>
      <x:c r="M34" s="35" t="str"/>
      <x:c r="N34" s="35" t="str"/>
    </x:row>
    <x:row r="35">
      <x:c r="A35" s="1"/>
      <x:c r="B35" s="36" t="str"/>
      <x:c r="C35" s="36" t="str"/>
      <x:c r="D35" s="36" t="str"/>
      <x:c r="E35" s="36" t="str"/>
      <x:c r="F35" s="36" t="str"/>
      <x:c r="G35" s="40" t="str"/>
      <x:c r="H35" s="40" t="str"/>
      <x:c r="I35" s="36" t="str"/>
      <x:c r="J35" s="36" t="str"/>
      <x:c r="K35" s="36" t="str"/>
      <x:c r="L35" s="36" t="str"/>
      <x:c r="M35" s="36" t="str"/>
      <x:c r="N35" s="36" t="str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</x:mergeCells>
  <x:dataValidations count="1">
    <x:dataValidation type="list" sqref="J6:J35">
      <x:formula1>"Open,Received,Reviewed,Overdue,Not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43" hidden="0" customWidth="1"/>
    <x:col min="3" max="3" width="9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Document Request List and Evidence Register — guidance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Scope, use and source notes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7" t="str">
        <x:v>How to use this workbook</x:v>
      </x:c>
      <x:c r="C6" s="17"/>
      <x:c r="D6" s="17"/>
      <x:c r="E6" s="17"/>
      <x:c r="F6" s="17"/>
      <x:c r="G6" s="17"/>
      <x:c r="H6" s="17"/>
      <x:c r="I6" s="1"/>
      <x:c r="J6" s="1"/>
      <x:c r="K6" s="1"/>
      <x:c r="L6" s="1"/>
      <x:c r="M6" s="1"/>
      <x:c r="N6" s="1"/>
    </x:row>
    <x:row r="7" ht="30" customHeight="1">
      <x:c r="A7" s="1"/>
      <x:c r="B7" s="42" t="str">
        <x:v>1</x:v>
      </x:c>
      <x:c r="C7" s="43" t="str">
        <x:v>Replace yellow cells with facts from your transaction.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0" customHeight="1">
      <x:c r="A8" s="1"/>
      <x:c r="B8" s="42" t="str">
        <x:v>2</x:v>
      </x:c>
      <x:c r="C8" s="43" t="str">
        <x:v>Identify the source or evidence for material entries. Receiving a file does not verify its contents.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30" customHeight="1">
      <x:c r="A9" s="1"/>
      <x:c r="B9" s="42" t="str">
        <x:v>3</x:v>
      </x:c>
      <x:c r="C9" s="43" t="str">
        <x:v>Assign open items and dates. Keep adviser conclusions separate from buyer assumptions.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30" customHeight="1">
      <x:c r="A10" s="1"/>
      <x:c r="B10" s="42" t="str">
        <x:v>4</x:v>
      </x:c>
      <x:c r="C10" s="43" t="str">
        <x:v>Retain version dates and do not overwrite previously approved records.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30" customHeight="1">
      <x:c r="A11" s="1"/>
      <x:c r="B11" s="42" t="str">
        <x:v>5</x:v>
      </x:c>
      <x:c r="C11" s="43" t="str">
        <x:v>Have qualified advisers confirm legal, tax, accounting, valuation and financing matters.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7" t="str">
        <x:v>Public reference sources</x:v>
      </x:c>
      <x:c r="C14" s="17"/>
      <x:c r="D14" s="17"/>
      <x:c r="E14" s="17"/>
      <x:c r="F14" s="17"/>
      <x:c r="G14" s="17"/>
      <x:c r="H14" s="17"/>
      <x:c r="I14" s="1"/>
      <x:c r="J14" s="1"/>
      <x:c r="K14" s="1"/>
      <x:c r="L14" s="1"/>
      <x:c r="M14" s="1"/>
      <x:c r="N14" s="1"/>
    </x:row>
    <x:row r="15" ht="34" customHeight="1">
      <x:c r="A15" s="1"/>
      <x:c r="B15" s="46" t="str">
        <x:v>BDC — Due diligence when buying a business</x:v>
      </x:c>
      <x:c r="C15" s="47" t="str">
        <x:v>https://www.bdc.ca/en/articles-tools/start-buy-business/buy-business/buying-business-conducting-due-diligence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34" customHeight="1">
      <x:c r="A16" s="1"/>
      <x:c r="B16" s="46" t="str">
        <x:v>BDC — Steps to buying a business</x:v>
      </x:c>
      <x:c r="C16" s="47" t="str">
        <x:v>https://www.bdc.ca/en/articles-tools/start-buy-business/buy-business/what-are-steps-buying-business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34" customHeight="1">
      <x:c r="A17" s="1"/>
      <x:c r="B17" s="46" t="str">
        <x:v>CRA — Buying a business</x:v>
      </x:c>
      <x:c r="C17" s="47" t="str">
        <x:v>https://www.canada.ca/en/revenue-agency/services/tax/businesses/topics/business-registration/maintain-business/buying-business.html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34" customHeight="1">
      <x:c r="A18" s="1"/>
      <x:c r="B18" s="46" t="str">
        <x:v>SBA — Plan your business / buy an existing business</x:v>
      </x:c>
      <x:c r="C18" s="47" t="str">
        <x:v>https://www.sba.gov/counseling/plan-your-business/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