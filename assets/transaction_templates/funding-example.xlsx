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f51607359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aa98143fd3b4c74"/>
    <x:sheet xmlns:r="http://schemas.openxmlformats.org/officeDocument/2006/relationships" name="Workspace" sheetId="2" r:id="R7358d69430054f90"/>
    <x:sheet xmlns:r="http://schemas.openxmlformats.org/officeDocument/2006/relationships" name="Guidance" sheetId="3" r:id="R1503ed47c199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($#,##0);-"/>
    <x:numFmt numFmtId="201" formatCode="0.00x"/>
    <x:numFmt numFmtId="202" formatCode="0.0%"/>
  </x:numFmts>
  <x:fonts count="14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20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4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4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4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10" fillId="3" borderId="0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2" fontId="10" fillId="3" borderId="0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9a7feb5614d1c" /><Relationship Type="http://schemas.openxmlformats.org/officeDocument/2006/relationships/theme" Target="/xl/theme/theme1.xml" Id="R741ea2a2f3b74152" /><Relationship Type="http://schemas.openxmlformats.org/officeDocument/2006/relationships/sharedStrings" Target="/xl/sharedStrings.xml" Id="R2721f497ec194437" /><Relationship Type="http://schemas.openxmlformats.org/officeDocument/2006/relationships/worksheet" Target="/xl/worksheets/sheet1.xml" Id="R2aa98143fd3b4c74" /><Relationship Type="http://schemas.openxmlformats.org/officeDocument/2006/relationships/worksheet" Target="/xl/worksheets/sheet2.xml" Id="R7358d69430054f90" /><Relationship Type="http://schemas.openxmlformats.org/officeDocument/2006/relationships/worksheet" Target="/xl/worksheets/sheet3.xml" Id="R1503ed47c19944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Funding Plan and Lender Package</x:v>
      </x:c>
      <x:c r="C2" s="2"/>
      <x:c r="D2" s="2"/>
      <x:c r="E2" s="2"/>
      <x:c r="F2" s="2"/>
      <x:c r="G2" s="2"/>
      <x:c r="H2" s="2"/>
      <x:c r="I2" s="1"/>
      <x:c r="J2" s="6" t="str">
        <x:v>SOURCES, USES AND REPAYMENT</x:v>
      </x:c>
      <x:c r="K2" s="6"/>
      <x:c r="L2" s="6"/>
      <x:c r="M2" s="6"/>
      <x:c r="N2" s="6"/>
    </x:row>
    <x:row r="3">
      <x:c r="A3" s="1"/>
      <x:c r="B3" s="3" t="str">
        <x:v>Illustrative working file · Harbour Services Ltd. · CAD</x:v>
      </x:c>
      <x:c r="C3" s="3"/>
      <x:c r="D3" s="3"/>
      <x:c r="E3" s="3"/>
      <x:c r="F3" s="3"/>
      <x:c r="G3" s="3"/>
      <x:c r="H3" s="3"/>
      <x:c r="I3" s="1"/>
      <x:c r="J3" s="8" t="str">
        <x:v>Illustrative transaction · not seller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Illustrative figures only. Reviewer conclusions and source files must be obtained for an actual transaction.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TOTAL USES</x:v>
      </x:c>
      <x:c r="C8" s="6"/>
      <x:c r="D8" s="6"/>
      <x:c r="E8" s="6"/>
      <x:c r="F8" s="6" t="str">
        <x:v>TOTAL SOURCES</x:v>
      </x:c>
      <x:c r="G8" s="6"/>
      <x:c r="H8" s="6"/>
      <x:c r="I8" s="6"/>
      <x:c r="J8" s="6" t="str">
        <x:v>FUNDING GAP</x:v>
      </x:c>
      <x:c r="K8" s="6"/>
      <x:c r="L8" s="6"/>
      <x:c r="M8" s="6"/>
      <x:c r="N8" s="1"/>
    </x:row>
    <x:row r="9">
      <x:c r="A9" s="1"/>
      <x:c r="B9" s="16" t="n">
        <x:f>Workspace!C13</x:f>
        <x:v>600000</x:v>
      </x:c>
      <x:c r="C9" s="16"/>
      <x:c r="D9" s="16"/>
      <x:c r="E9" s="16"/>
      <x:c r="F9" s="16" t="n">
        <x:f>Workspace!F13</x:f>
        <x:v>600000</x:v>
      </x:c>
      <x:c r="G9" s="16"/>
      <x:c r="H9" s="16"/>
      <x:c r="I9" s="16"/>
      <x:c r="J9" s="16" t="n">
        <x:f>B9-F9</x:f>
        <x:v>0</x:v>
      </x:c>
      <x:c r="K9" s="16"/>
      <x:c r="L9" s="16"/>
      <x:c r="M9" s="16"/>
      <x:c r="N9" s="1"/>
    </x:row>
    <x:row r="10">
      <x:c r="A10" s="1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"/>
    </x:row>
    <x:row r="11">
      <x:c r="A11" s="1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8" t="str">
        <x:v>Repayment indicators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"/>
    </x:row>
    <x:row r="15" ht="30" customHeight="1">
      <x:c r="A15" s="1"/>
      <x:c r="B15" s="29" t="str">
        <x:v>Metric</x:v>
      </x:c>
      <x:c r="C15" s="30" t="str">
        <x:v>Value</x:v>
      </x:c>
      <x:c r="D15" s="30" t="str">
        <x:v>Minimum / note</x:v>
      </x:c>
      <x:c r="E15" s="31" t="str">
        <x:v>Status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36" t="str">
        <x:v>Illustrative annual debt service</x:v>
      </x:c>
      <x:c r="C16" s="40" t="n">
        <x:f>Workspace!F22</x:f>
        <x:v>76020.43950078147</x:v>
      </x:c>
      <x:c r="D16" s="36" t="str">
        <x:v>Based on entered rate and term</x:v>
      </x:c>
      <x:c r="E16" s="36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36" t="str">
        <x:v>Adjusted EBITDA</x:v>
      </x:c>
      <x:c r="C17" s="41" t="n">
        <x:v>105000</x:v>
      </x:c>
      <x:c r="D17" s="36" t="str">
        <x:v>Link from earnings review</x:v>
      </x:c>
      <x:c r="E17" s="36" t="str">
        <x:v>Input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37" t="str">
        <x:v>Illustrative DSCR</x:v>
      </x:c>
      <x:c r="C18" s="42" t="n">
        <x:f>IF(OR(C16="",C16=0,C17=""),"n.a.",C17/C16)</x:f>
        <x:v>1.381207484322958</x:v>
      </x:c>
      <x:c r="D18" s="37" t="str">
        <x:v>Common lender definitions vary</x:v>
      </x:c>
      <x:c r="E18" s="37" t="str">
        <x:f>IF(C18="n.a.","Missing debt service or earnings",IF(C18&gt;=1.35,"Above 1.35x","Below 1.35x"))</x:f>
        <x:v>Above 1.35x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Funding model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Illustrative working file · unapproved · CAD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3" customHeight="1">
      <x:c r="A5" s="1"/>
      <x:c r="B5" s="18" t="str">
        <x:v>Sources and uses</x:v>
      </x:c>
      <x:c r="C5" s="18"/>
      <x:c r="D5" s="18"/>
      <x:c r="E5" s="18"/>
      <x:c r="F5" s="18"/>
      <x:c r="G5" s="1"/>
      <x:c r="H5" s="1"/>
      <x:c r="I5" s="1"/>
      <x:c r="J5" s="1"/>
      <x:c r="K5" s="1"/>
      <x:c r="L5" s="1"/>
      <x:c r="M5" s="1"/>
      <x:c r="N5" s="1"/>
    </x:row>
    <x:row r="6" ht="30" customHeight="1">
      <x:c r="A6" s="1"/>
      <x:c r="B6" s="29" t="str">
        <x:v>Use</x:v>
      </x:c>
      <x:c r="C6" s="31" t="str">
        <x:v>Amount</x:v>
      </x:c>
      <x:c r="D6" s="1"/>
      <x:c r="E6" s="29" t="str">
        <x:v>Source</x:v>
      </x:c>
      <x:c r="F6" s="31" t="str">
        <x:v>Amount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36" t="str">
        <x:v>Purchase price</x:v>
      </x:c>
      <x:c r="C7" s="41" t="n">
        <x:v>500000</x:v>
      </x:c>
      <x:c r="D7" s="1"/>
      <x:c r="E7" s="36" t="str">
        <x:v>Buyer equity</x:v>
      </x:c>
      <x:c r="F7" s="41" t="n">
        <x:v>200000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36" t="str">
        <x:v>Professional fees</x:v>
      </x:c>
      <x:c r="C8" s="41" t="n">
        <x:v>30000</x:v>
      </x:c>
      <x:c r="D8" s="1"/>
      <x:c r="E8" s="36" t="str">
        <x:v>Senior lender</x:v>
      </x:c>
      <x:c r="F8" s="41" t="n">
        <x:v>350000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36" t="str">
        <x:v>Opening working capital</x:v>
      </x:c>
      <x:c r="C9" s="41" t="n">
        <x:v>50000</x:v>
      </x:c>
      <x:c r="D9" s="1"/>
      <x:c r="E9" s="36" t="str">
        <x:v>Seller note</x:v>
      </x:c>
      <x:c r="F9" s="41" t="n">
        <x:v>50000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36" t="str">
        <x:v>Contingency reserve</x:v>
      </x:c>
      <x:c r="C10" s="41" t="n">
        <x:v>20000</x:v>
      </x:c>
      <x:c r="D10" s="1"/>
      <x:c r="E10" s="36" t="str">
        <x:v>Mezzanine / other</x:v>
      </x:c>
      <x:c r="F10" s="41" t="n">
        <x:v>0</x:v>
      </x:c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36" t="str">
        <x:v>Taxes / registrations</x:v>
      </x:c>
      <x:c r="C11" s="41" t="n">
        <x:v>0</x:v>
      </x:c>
      <x:c r="D11" s="1"/>
      <x:c r="E11" s="36" t="str">
        <x:v>Other</x:v>
      </x:c>
      <x:c r="F11" s="41" t="n">
        <x:v>0</x:v>
      </x:c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36" t="str">
        <x:v>Other</x:v>
      </x:c>
      <x:c r="C12" s="41" t="n">
        <x:v>0</x:v>
      </x:c>
      <x:c r="D12" s="1"/>
      <x:c r="E12" s="36" t="str">
        <x:v>Unfunded</x:v>
      </x:c>
      <x:c r="F12" s="41" t="n">
        <x:v>0</x:v>
      </x:c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37" t="str">
        <x:v>Total</x:v>
      </x:c>
      <x:c r="C13" s="43" t="n">
        <x:f>SUM(C7:C12)</x:f>
        <x:v>600000</x:v>
      </x:c>
      <x:c r="D13" s="1"/>
      <x:c r="E13" s="37" t="str">
        <x:v>Total</x:v>
      </x:c>
      <x:c r="F13" s="43" t="n">
        <x:f>SUM(F7:F12)</x:f>
        <x:v>600000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8" t="str">
        <x:v>Illustrative debt terms</x:v>
      </x:c>
      <x:c r="C17" s="18"/>
      <x:c r="D17" s="18"/>
      <x:c r="E17" s="18"/>
      <x:c r="F17" s="18"/>
      <x:c r="G17" s="1"/>
      <x:c r="H17" s="1"/>
      <x:c r="I17" s="1"/>
      <x:c r="J17" s="1"/>
      <x:c r="K17" s="1"/>
      <x:c r="L17" s="1"/>
      <x:c r="M17" s="1"/>
      <x:c r="N17" s="1"/>
    </x:row>
    <x:row r="18" ht="30" customHeight="1">
      <x:c r="A18" s="1"/>
      <x:c r="B18" s="29" t="str">
        <x:v>Facility</x:v>
      </x:c>
      <x:c r="C18" s="30" t="str">
        <x:v>Principal</x:v>
      </x:c>
      <x:c r="D18" s="30" t="str">
        <x:v>Annual rate</x:v>
      </x:c>
      <x:c r="E18" s="30" t="str">
        <x:v>Term (years)</x:v>
      </x:c>
      <x:c r="F18" s="31" t="str">
        <x:v>Annual debt service</x:v>
      </x:c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36" t="str">
        <x:v>Senior lender</x:v>
      </x:c>
      <x:c r="C19" s="41" t="n">
        <x:v>350000</x:v>
      </x:c>
      <x:c r="D19" s="44" t="n">
        <x:v>0.075</x:v>
      </x:c>
      <x:c r="E19" s="39" t="n">
        <x:v>7</x:v>
      </x:c>
      <x:c r="F19" s="40" t="n">
        <x:f>IF(OR(C19="",D19="",E19="",E19&lt;=0),"",IF(D19=0,C19/E19,C19*(D19/12)/(1-(1+D19/12)^(-E19*12))*12))</x:f>
        <x:v>64420.75858312451</x:v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36" t="str">
        <x:v>Seller note</x:v>
      </x:c>
      <x:c r="C20" s="41" t="n">
        <x:v>50000</x:v>
      </x:c>
      <x:c r="D20" s="44" t="n">
        <x:v>0.06</x:v>
      </x:c>
      <x:c r="E20" s="39" t="n">
        <x:v>5</x:v>
      </x:c>
      <x:c r="F20" s="40" t="n">
        <x:f>IF(OR(C20="",D20="",E20="",E20&lt;=0),"",IF(D20=0,C20/E20,C20*(D20/12)/(1-(1+D20/12)^(-E20*12))*12))</x:f>
        <x:v>11599.680917656966</x:v>
      </x:c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36" t="str">
        <x:v>Other</x:v>
      </x:c>
      <x:c r="C21" s="41" t="n">
        <x:v>0</x:v>
      </x:c>
      <x:c r="D21" s="44" t="n">
        <x:v>0</x:v>
      </x:c>
      <x:c r="E21" s="39" t="n">
        <x:v>1</x:v>
      </x:c>
      <x:c r="F21" s="40" t="str">
        <x:f>IF(OR(C21="",D21="",E21="",E21&lt;=0),"",IF(D21=0,C21/E21,C21*(D21/12)/(1-(1+D21/12)^(-E21*12))*12))</x:f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37" t="str">
        <x:v>Total annual debt service</x:v>
      </x:c>
      <x:c r="C22" s="37"/>
      <x:c r="D22" s="37"/>
      <x:c r="E22" s="37"/>
      <x:c r="F22" s="43" t="n">
        <x:f>SUM(F19:F21)</x:f>
        <x:v>76020.43950078147</x:v>
      </x:c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8" t="str">
        <x:v>Lender package checklist</x:v>
      </x:c>
      <x:c r="C26" s="18"/>
      <x:c r="D26" s="18"/>
      <x:c r="E26" s="18"/>
      <x:c r="F26" s="18"/>
      <x:c r="G26" s="1"/>
      <x:c r="H26" s="1"/>
      <x:c r="I26" s="1"/>
      <x:c r="J26" s="1"/>
      <x:c r="K26" s="1"/>
      <x:c r="L26" s="1"/>
      <x:c r="M26" s="1"/>
      <x:c r="N26" s="1"/>
    </x:row>
    <x:row r="27" ht="30" customHeight="1">
      <x:c r="A27" s="1"/>
      <x:c r="B27" s="29" t="str">
        <x:v>Item</x:v>
      </x:c>
      <x:c r="C27" s="30" t="str">
        <x:v>Owner</x:v>
      </x:c>
      <x:c r="D27" s="30" t="str">
        <x:v>Due date</x:v>
      </x:c>
      <x:c r="E27" s="30" t="str">
        <x:v>Status</x:v>
      </x:c>
      <x:c r="F27" s="31" t="str">
        <x:v>Evidence / file</x:v>
      </x:c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39" t="str">
        <x:v>Buyer resume and net worth statement</x:v>
      </x:c>
      <x:c r="C28" s="39" t="str">
        <x:v>Buyer</x:v>
      </x:c>
      <x:c r="D28" s="39" t="str">
        <x:v>2026-09-25</x:v>
      </x:c>
      <x:c r="E28" s="39" t="str">
        <x:v>Complete</x:v>
      </x:c>
      <x:c r="F28" s="39" t="str">
        <x:v>Secure lender portal</x:v>
      </x:c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39" t="str">
        <x:v>Historical financial statements and tax returns</x:v>
      </x:c>
      <x:c r="C29" s="39" t="str">
        <x:v>Accountant</x:v>
      </x:c>
      <x:c r="D29" s="39" t="str">
        <x:v>2026-09-27</x:v>
      </x:c>
      <x:c r="E29" s="39" t="str">
        <x:v>In progress</x:v>
      </x:c>
      <x:c r="F29" s="39" t="str">
        <x:v>Tax returns pending</x:v>
      </x:c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39" t="str">
        <x:v>Business plan and 24-month projections</x:v>
      </x:c>
      <x:c r="C30" s="39" t="str">
        <x:v>Buyer</x:v>
      </x:c>
      <x:c r="D30" s="39" t="str">
        <x:v>2026-10-05</x:v>
      </x:c>
      <x:c r="E30" s="39" t="str">
        <x:v>Open</x:v>
      </x:c>
      <x:c r="F30" s="39" t="str">
        <x:v>Draft not started</x:v>
      </x:c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39" t="str">
        <x:v>Purchase agreement / LOI</x:v>
      </x:c>
      <x:c r="C31" s="39" t="str">
        <x:v>Counsel</x:v>
      </x:c>
      <x:c r="D31" s="39" t="str">
        <x:v>2026-10-10</x:v>
      </x:c>
      <x:c r="E31" s="39" t="str">
        <x:v>Open</x:v>
      </x:c>
      <x:c r="F31" s="39" t="str">
        <x:v>Subject to negotiation</x:v>
      </x:c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39" t="str"/>
      <x:c r="C32" s="39" t="str"/>
      <x:c r="D32" s="39" t="str"/>
      <x:c r="E32" s="39" t="str"/>
      <x:c r="F32" s="39" t="str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39" t="str"/>
      <x:c r="C33" s="39" t="str"/>
      <x:c r="D33" s="39" t="str"/>
      <x:c r="E33" s="39" t="str"/>
      <x:c r="F33" s="39" t="str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39" t="str"/>
      <x:c r="C34" s="39" t="str"/>
      <x:c r="D34" s="39" t="str"/>
      <x:c r="E34" s="39" t="str"/>
      <x:c r="F34" s="39" t="str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46" t="str"/>
      <x:c r="C35" s="46" t="str"/>
      <x:c r="D35" s="46" t="str"/>
      <x:c r="E35" s="46" t="str"/>
      <x:c r="F35" s="46" t="str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5:F5"/>
    <x:mergeCell ref="B17:F17"/>
    <x:mergeCell ref="B26:F26"/>
  </x:mergeCells>
  <x:dataValidations count="1">
    <x:dataValidation type="list" sqref="E28:E35">
      <x:formula1>"Open,In progress,Complete,Not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Funding Plan and Lender Package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8" t="str">
        <x:v>How to use this workbook</x:v>
      </x:c>
      <x:c r="C6" s="18"/>
      <x:c r="D6" s="18"/>
      <x:c r="E6" s="18"/>
      <x:c r="F6" s="18"/>
      <x:c r="G6" s="18"/>
      <x:c r="H6" s="18"/>
      <x:c r="I6" s="1"/>
      <x:c r="J6" s="1"/>
      <x:c r="K6" s="1"/>
      <x:c r="L6" s="1"/>
      <x:c r="M6" s="1"/>
      <x:c r="N6" s="1"/>
    </x:row>
    <x:row r="7" ht="30" customHeight="1">
      <x:c r="A7" s="1"/>
      <x:c r="B7" s="48" t="str">
        <x:v>1</x:v>
      </x:c>
      <x:c r="C7" s="49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8" t="str">
        <x:v>2</x:v>
      </x:c>
      <x:c r="C8" s="49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8" t="str">
        <x:v>3</x:v>
      </x:c>
      <x:c r="C9" s="49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8" t="str">
        <x:v>4</x:v>
      </x:c>
      <x:c r="C10" s="49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8" t="str">
        <x:v>5</x:v>
      </x:c>
      <x:c r="C11" s="49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8" t="str">
        <x:v>Public reference sources</x:v>
      </x:c>
      <x:c r="C14" s="18"/>
      <x:c r="D14" s="18"/>
      <x:c r="E14" s="18"/>
      <x:c r="F14" s="18"/>
      <x:c r="G14" s="18"/>
      <x:c r="H14" s="18"/>
      <x:c r="I14" s="1"/>
      <x:c r="J14" s="1"/>
      <x:c r="K14" s="1"/>
      <x:c r="L14" s="1"/>
      <x:c r="M14" s="1"/>
      <x:c r="N14" s="1"/>
    </x:row>
    <x:row r="15" ht="34" customHeight="1">
      <x:c r="A15" s="1"/>
      <x:c r="B15" s="52" t="str">
        <x:v>BDC — Due diligence when buying a business</x:v>
      </x:c>
      <x:c r="C15" s="53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52" t="str">
        <x:v>BDC — Steps to buying a business</x:v>
      </x:c>
      <x:c r="C16" s="53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52" t="str">
        <x:v>CRA — Buying a business</x:v>
      </x:c>
      <x:c r="C17" s="53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52" t="str">
        <x:v>SBA — Plan your business / buy an existing business</x:v>
      </x:c>
      <x:c r="C18" s="53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