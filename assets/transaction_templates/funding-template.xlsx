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0f8f556af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87dd773fce54c82"/>
    <x:sheet xmlns:r="http://schemas.openxmlformats.org/officeDocument/2006/relationships" name="Workspace" sheetId="2" r:id="Rafcfbf7cd9be4e2e"/>
    <x:sheet xmlns:r="http://schemas.openxmlformats.org/officeDocument/2006/relationships" name="Guidance" sheetId="3" r:id="R7273db8c5321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($#,##0);-"/>
    <x:numFmt numFmtId="201" formatCode="0.00x"/>
    <x:numFmt numFmtId="202" formatCode="0.0%"/>
  </x:numFmts>
  <x:fonts count="14">
    <x:font>
      <x:sz val="11"/>
      <x:name val="Carlito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b/>
      <x:sz val="8"/>
      <x:color rgb="FFA7B4C2"/>
      <x:name val="Arial"/>
    </x:font>
    <x:font>
      <x:sz val="9"/>
      <x:color rgb="FFFFFFFF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</x:fills>
  <x:borders count="6">
    <x:border/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200" fontId="7" fillId="4" borderId="0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2" xfId="0" applyNumberFormat="1" applyFont="1" applyFill="1" applyBorder="1"/>
    <x:xf numFmtId="0" fontId="9" fillId="2" borderId="3" xfId="0" applyNumberFormat="1" applyFont="1" applyFill="1" applyBorder="1"/>
    <x:xf numFmtId="0" fontId="9" fillId="2" borderId="4" xfId="0" applyNumberFormat="1" applyFont="1" applyFill="1" applyBorder="1"/>
    <x:xf numFmtId="0" fontId="9" fillId="2" borderId="2" xfId="0" applyNumberFormat="1" applyFont="1" applyFill="1" applyBorder="1" applyAlignment="1">
      <x:alignment wrapText="1"/>
    </x:xf>
    <x:xf numFmtId="0" fontId="9" fillId="2" borderId="3" xfId="0" applyNumberFormat="1" applyFont="1" applyFill="1" applyBorder="1" applyAlignment="1">
      <x:alignment wrapText="1"/>
    </x:xf>
    <x:xf numFmtId="0" fontId="9" fillId="2" borderId="4" xfId="0" applyNumberFormat="1" applyFont="1" applyFill="1" applyBorder="1" applyAlignment="1">
      <x:alignment wrapText="1"/>
    </x:xf>
    <x:xf numFmtId="0" fontId="9" fillId="2" borderId="2" xfId="0" applyNumberFormat="1" applyFont="1" applyFill="1" applyBorder="1" applyAlignment="1">
      <x:alignment horizontal="center" wrapText="1"/>
    </x:xf>
    <x:xf numFmtId="0" fontId="9" fillId="2" borderId="3" xfId="0" applyNumberFormat="1" applyFont="1" applyFill="1" applyBorder="1" applyAlignment="1">
      <x:alignment horizontal="center" wrapText="1"/>
    </x:xf>
    <x:xf numFmtId="0" fontId="9" fillId="2" borderId="4" xfId="0" applyNumberFormat="1" applyFont="1" applyFill="1" applyBorder="1" applyAlignment="1">
      <x:alignment horizont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9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10" fillId="3" borderId="0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2" fontId="10" fillId="3" borderId="0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c3c2eb89b462f" /><Relationship Type="http://schemas.openxmlformats.org/officeDocument/2006/relationships/theme" Target="/xl/theme/theme1.xml" Id="R6de79da714604f03" /><Relationship Type="http://schemas.openxmlformats.org/officeDocument/2006/relationships/sharedStrings" Target="/xl/sharedStrings.xml" Id="R1ecb07bed31640b1" /><Relationship Type="http://schemas.openxmlformats.org/officeDocument/2006/relationships/worksheet" Target="/xl/worksheets/sheet1.xml" Id="R787dd773fce54c82" /><Relationship Type="http://schemas.openxmlformats.org/officeDocument/2006/relationships/worksheet" Target="/xl/worksheets/sheet2.xml" Id="Rafcfbf7cd9be4e2e" /><Relationship Type="http://schemas.openxmlformats.org/officeDocument/2006/relationships/worksheet" Target="/xl/worksheets/sheet3.xml" Id="R7273db8c53214d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Funding Plan and Lender Package</x:v>
      </x:c>
      <x:c r="C2" s="2"/>
      <x:c r="D2" s="2"/>
      <x:c r="E2" s="2"/>
      <x:c r="F2" s="2"/>
      <x:c r="G2" s="2"/>
      <x:c r="H2" s="2"/>
      <x:c r="I2" s="1"/>
      <x:c r="J2" s="6" t="str">
        <x:v>SOURCES, USES AND REPAYMENT</x:v>
      </x:c>
      <x:c r="K2" s="6"/>
      <x:c r="L2" s="6"/>
      <x:c r="M2" s="6"/>
      <x:c r="N2" s="6"/>
    </x:row>
    <x:row r="3">
      <x:c r="A3" s="1"/>
      <x:c r="B3" s="3" t="str">
        <x:v>Working template · complete yellow cells</x:v>
      </x:c>
      <x:c r="C3" s="3"/>
      <x:c r="D3" s="3"/>
      <x:c r="E3" s="3"/>
      <x:c r="F3" s="3"/>
      <x:c r="G3" s="3"/>
      <x:c r="H3" s="3"/>
      <x:c r="I3" s="1"/>
      <x:c r="J3" s="8" t="str">
        <x:v>Complete inputs and link supporting evidence</x:v>
      </x:c>
      <x:c r="K3" s="8"/>
      <x:c r="L3" s="8"/>
      <x:c r="M3" s="8"/>
      <x:c r="N3" s="8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1"/>
      <x:c r="B6" s="11" t="str">
        <x:v>Enter deal facts in yellow cells. Keep source filenames and review conclusions alongside material figures.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6" t="str">
        <x:v>TOTAL USES</x:v>
      </x:c>
      <x:c r="C8" s="6"/>
      <x:c r="D8" s="6"/>
      <x:c r="E8" s="6"/>
      <x:c r="F8" s="6" t="str">
        <x:v>TOTAL SOURCES</x:v>
      </x:c>
      <x:c r="G8" s="6"/>
      <x:c r="H8" s="6"/>
      <x:c r="I8" s="6"/>
      <x:c r="J8" s="6" t="str">
        <x:v>FUNDING GAP</x:v>
      </x:c>
      <x:c r="K8" s="6"/>
      <x:c r="L8" s="6"/>
      <x:c r="M8" s="6"/>
      <x:c r="N8" s="1"/>
    </x:row>
    <x:row r="9">
      <x:c r="A9" s="1"/>
      <x:c r="B9" s="16" t="n">
        <x:f>Workspace!C13</x:f>
        <x:v>0</x:v>
      </x:c>
      <x:c r="C9" s="16"/>
      <x:c r="D9" s="16"/>
      <x:c r="E9" s="16"/>
      <x:c r="F9" s="16" t="n">
        <x:f>Workspace!F13</x:f>
        <x:v>0</x:v>
      </x:c>
      <x:c r="G9" s="16"/>
      <x:c r="H9" s="16"/>
      <x:c r="I9" s="16"/>
      <x:c r="J9" s="16" t="n">
        <x:f>B9-F9</x:f>
        <x:v>0</x:v>
      </x:c>
      <x:c r="K9" s="16"/>
      <x:c r="L9" s="16"/>
      <x:c r="M9" s="16"/>
      <x:c r="N9" s="1"/>
    </x:row>
    <x:row r="10">
      <x:c r="A10" s="1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"/>
    </x:row>
    <x:row r="11">
      <x:c r="A11" s="1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8" t="str">
        <x:v>Repayment indicators</x:v>
      </x:c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"/>
    </x:row>
    <x:row r="15" ht="30" customHeight="1">
      <x:c r="A15" s="1"/>
      <x:c r="B15" s="29" t="str">
        <x:v>Metric</x:v>
      </x:c>
      <x:c r="C15" s="30" t="str">
        <x:v>Value</x:v>
      </x:c>
      <x:c r="D15" s="30" t="str">
        <x:v>Minimum / note</x:v>
      </x:c>
      <x:c r="E15" s="31" t="str">
        <x:v>Status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36" t="str">
        <x:v>Illustrative annual debt service</x:v>
      </x:c>
      <x:c r="C16" s="40" t="n">
        <x:f>Workspace!F22</x:f>
        <x:v>0</x:v>
      </x:c>
      <x:c r="D16" s="36" t="str">
        <x:v>Based on entered rate and term</x:v>
      </x:c>
      <x:c r="E16" s="36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36" t="str">
        <x:v>Adjusted EBITDA</x:v>
      </x:c>
      <x:c r="C17" s="41" t="n">
        <x:v>0</x:v>
      </x:c>
      <x:c r="D17" s="36" t="str">
        <x:v>Link from earnings review</x:v>
      </x:c>
      <x:c r="E17" s="36" t="str">
        <x:v>Enter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37" t="str">
        <x:v>Illustrative DSCR</x:v>
      </x:c>
      <x:c r="C18" s="42" t="str">
        <x:f>IF(OR(C16="",C16=0,C17=""),"n.a.",C17/C16)</x:f>
        <x:v>n.a.</x:v>
      </x:c>
      <x:c r="D18" s="37" t="str">
        <x:v>Common lender definitions vary</x:v>
      </x:c>
      <x:c r="E18" s="37" t="str">
        <x:f>IF(C18="n.a.","Missing debt service or earnings",IF(C18&gt;=1.35,"Above 1.35x","Below 1.35x"))</x:f>
        <x:v>Missing debt service or earnings</x:v>
      </x:c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32" hidden="0" customWidth="1"/>
    <x:col min="3" max="3" width="18" hidden="0" customWidth="1"/>
    <x:col min="4" max="4" width="16" hidden="0" customWidth="1"/>
    <x:col min="5" max="5" width="16" hidden="0" customWidth="1"/>
    <x:col min="6" max="6" width="28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Funding model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Yellow cells are editable · CAD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3" customHeight="1">
      <x:c r="A5" s="1"/>
      <x:c r="B5" s="18" t="str">
        <x:v>Sources and uses</x:v>
      </x:c>
      <x:c r="C5" s="18"/>
      <x:c r="D5" s="18"/>
      <x:c r="E5" s="18"/>
      <x:c r="F5" s="18"/>
      <x:c r="G5" s="1"/>
      <x:c r="H5" s="1"/>
      <x:c r="I5" s="1"/>
      <x:c r="J5" s="1"/>
      <x:c r="K5" s="1"/>
      <x:c r="L5" s="1"/>
      <x:c r="M5" s="1"/>
      <x:c r="N5" s="1"/>
    </x:row>
    <x:row r="6" ht="30" customHeight="1">
      <x:c r="A6" s="1"/>
      <x:c r="B6" s="29" t="str">
        <x:v>Use</x:v>
      </x:c>
      <x:c r="C6" s="31" t="str">
        <x:v>Amount</x:v>
      </x:c>
      <x:c r="D6" s="1"/>
      <x:c r="E6" s="29" t="str">
        <x:v>Source</x:v>
      </x:c>
      <x:c r="F6" s="31" t="str">
        <x:v>Amount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/>
      <x:c r="B7" s="36" t="str">
        <x:v>Purchase price</x:v>
      </x:c>
      <x:c r="C7" s="41" t="n">
        <x:v>0</x:v>
      </x:c>
      <x:c r="D7" s="1"/>
      <x:c r="E7" s="36" t="str">
        <x:v>Buyer equity</x:v>
      </x:c>
      <x:c r="F7" s="41" t="n">
        <x:v>0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36" t="str">
        <x:v>Professional fees</x:v>
      </x:c>
      <x:c r="C8" s="41" t="n">
        <x:v>0</x:v>
      </x:c>
      <x:c r="D8" s="1"/>
      <x:c r="E8" s="36" t="str">
        <x:v>Senior lender</x:v>
      </x:c>
      <x:c r="F8" s="41" t="n">
        <x:v>0</x:v>
      </x:c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36" t="str">
        <x:v>Opening working capital</x:v>
      </x:c>
      <x:c r="C9" s="41" t="n">
        <x:v>0</x:v>
      </x:c>
      <x:c r="D9" s="1"/>
      <x:c r="E9" s="36" t="str">
        <x:v>Seller note</x:v>
      </x:c>
      <x:c r="F9" s="41" t="n">
        <x:v>0</x:v>
      </x:c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36" t="str">
        <x:v>Contingency reserve</x:v>
      </x:c>
      <x:c r="C10" s="41" t="n">
        <x:v>0</x:v>
      </x:c>
      <x:c r="D10" s="1"/>
      <x:c r="E10" s="36" t="str">
        <x:v>Mezzanine / other</x:v>
      </x:c>
      <x:c r="F10" s="41" t="n">
        <x:v>0</x:v>
      </x:c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36" t="str">
        <x:v>Taxes / registrations</x:v>
      </x:c>
      <x:c r="C11" s="41" t="n">
        <x:v>0</x:v>
      </x:c>
      <x:c r="D11" s="1"/>
      <x:c r="E11" s="36" t="str">
        <x:v>Other</x:v>
      </x:c>
      <x:c r="F11" s="41" t="n">
        <x:v>0</x:v>
      </x:c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36" t="str">
        <x:v>Other</x:v>
      </x:c>
      <x:c r="C12" s="41" t="n">
        <x:v>0</x:v>
      </x:c>
      <x:c r="D12" s="1"/>
      <x:c r="E12" s="36" t="str">
        <x:v>Unfunded</x:v>
      </x:c>
      <x:c r="F12" s="41" t="n">
        <x:v>0</x:v>
      </x:c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37" t="str">
        <x:v>Total</x:v>
      </x:c>
      <x:c r="C13" s="43" t="n">
        <x:f>SUM(C7:C12)</x:f>
        <x:v>0</x:v>
      </x:c>
      <x:c r="D13" s="1"/>
      <x:c r="E13" s="37" t="str">
        <x:v>Total</x:v>
      </x:c>
      <x:c r="F13" s="43" t="n">
        <x:f>SUM(F7:F12)</x:f>
        <x:v>0</x:v>
      </x:c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/>
      <x:c r="B17" s="18" t="str">
        <x:v>Illustrative debt terms</x:v>
      </x:c>
      <x:c r="C17" s="18"/>
      <x:c r="D17" s="18"/>
      <x:c r="E17" s="18"/>
      <x:c r="F17" s="18"/>
      <x:c r="G17" s="1"/>
      <x:c r="H17" s="1"/>
      <x:c r="I17" s="1"/>
      <x:c r="J17" s="1"/>
      <x:c r="K17" s="1"/>
      <x:c r="L17" s="1"/>
      <x:c r="M17" s="1"/>
      <x:c r="N17" s="1"/>
    </x:row>
    <x:row r="18" ht="30" customHeight="1">
      <x:c r="A18" s="1"/>
      <x:c r="B18" s="29" t="str">
        <x:v>Facility</x:v>
      </x:c>
      <x:c r="C18" s="30" t="str">
        <x:v>Principal</x:v>
      </x:c>
      <x:c r="D18" s="30" t="str">
        <x:v>Annual rate</x:v>
      </x:c>
      <x:c r="E18" s="30" t="str">
        <x:v>Term (years)</x:v>
      </x:c>
      <x:c r="F18" s="31" t="str">
        <x:v>Annual debt service</x:v>
      </x:c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36" t="str">
        <x:v>Senior lender</x:v>
      </x:c>
      <x:c r="C19" s="41" t="n">
        <x:v>0</x:v>
      </x:c>
      <x:c r="D19" s="44" t="n">
        <x:v>0</x:v>
      </x:c>
      <x:c r="E19" s="39" t="n">
        <x:v>5</x:v>
      </x:c>
      <x:c r="F19" s="40" t="str">
        <x:f>IF(OR(C19="",D19="",E19="",E19&lt;=0),"",IF(D19=0,C19/E19,C19*(D19/12)/(1-(1+D19/12)^(-E19*12))*12))</x:f>
      </x:c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36" t="str">
        <x:v>Seller note</x:v>
      </x:c>
      <x:c r="C20" s="41" t="n">
        <x:v>0</x:v>
      </x:c>
      <x:c r="D20" s="44" t="n">
        <x:v>0</x:v>
      </x:c>
      <x:c r="E20" s="39" t="n">
        <x:v>5</x:v>
      </x:c>
      <x:c r="F20" s="40" t="str">
        <x:f>IF(OR(C20="",D20="",E20="",E20&lt;=0),"",IF(D20=0,C20/E20,C20*(D20/12)/(1-(1+D20/12)^(-E20*12))*12))</x:f>
      </x:c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36" t="str">
        <x:v>Other</x:v>
      </x:c>
      <x:c r="C21" s="41" t="n">
        <x:v>0</x:v>
      </x:c>
      <x:c r="D21" s="44" t="n">
        <x:v>0</x:v>
      </x:c>
      <x:c r="E21" s="39" t="n">
        <x:v>1</x:v>
      </x:c>
      <x:c r="F21" s="40" t="str">
        <x:f>IF(OR(C21="",D21="",E21="",E21&lt;=0),"",IF(D21=0,C21/E21,C21*(D21/12)/(1-(1+D21/12)^(-E21*12))*12))</x:f>
      </x:c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37" t="str">
        <x:v>Total annual debt service</x:v>
      </x:c>
      <x:c r="C22" s="37"/>
      <x:c r="D22" s="37"/>
      <x:c r="E22" s="37"/>
      <x:c r="F22" s="43" t="n">
        <x:f>SUM(F19:F21)</x:f>
        <x:v>0</x:v>
      </x:c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/>
      <x:c r="B26" s="18" t="str">
        <x:v>Lender package checklist</x:v>
      </x:c>
      <x:c r="C26" s="18"/>
      <x:c r="D26" s="18"/>
      <x:c r="E26" s="18"/>
      <x:c r="F26" s="18"/>
      <x:c r="G26" s="1"/>
      <x:c r="H26" s="1"/>
      <x:c r="I26" s="1"/>
      <x:c r="J26" s="1"/>
      <x:c r="K26" s="1"/>
      <x:c r="L26" s="1"/>
      <x:c r="M26" s="1"/>
      <x:c r="N26" s="1"/>
    </x:row>
    <x:row r="27" ht="30" customHeight="1">
      <x:c r="A27" s="1"/>
      <x:c r="B27" s="29" t="str">
        <x:v>Item</x:v>
      </x:c>
      <x:c r="C27" s="30" t="str">
        <x:v>Owner</x:v>
      </x:c>
      <x:c r="D27" s="30" t="str">
        <x:v>Due date</x:v>
      </x:c>
      <x:c r="E27" s="30" t="str">
        <x:v>Status</x:v>
      </x:c>
      <x:c r="F27" s="31" t="str">
        <x:v>Evidence / file</x:v>
      </x:c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39" t="str">
        <x:v>[Item]</x:v>
      </x:c>
      <x:c r="C28" s="39" t="str">
        <x:v>[Owner]</x:v>
      </x:c>
      <x:c r="D28" s="39" t="str">
        <x:v>[Date]</x:v>
      </x:c>
      <x:c r="E28" s="39" t="str">
        <x:v>Open</x:v>
      </x:c>
      <x:c r="F28" s="39" t="str">
        <x:v>[Evidence]</x:v>
      </x:c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39" t="str">
        <x:v>[Item]</x:v>
      </x:c>
      <x:c r="C29" s="39" t="str">
        <x:v>[Owner]</x:v>
      </x:c>
      <x:c r="D29" s="39" t="str">
        <x:v>[Date]</x:v>
      </x:c>
      <x:c r="E29" s="39" t="str">
        <x:v>Open</x:v>
      </x:c>
      <x:c r="F29" s="39" t="str">
        <x:v>[Evidence]</x:v>
      </x:c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39" t="str">
        <x:v>[Item]</x:v>
      </x:c>
      <x:c r="C30" s="39" t="str">
        <x:v>[Owner]</x:v>
      </x:c>
      <x:c r="D30" s="39" t="str">
        <x:v>[Date]</x:v>
      </x:c>
      <x:c r="E30" s="39" t="str">
        <x:v>Open</x:v>
      </x:c>
      <x:c r="F30" s="39" t="str">
        <x:v>[Evidence]</x:v>
      </x:c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39" t="str">
        <x:v>[Item]</x:v>
      </x:c>
      <x:c r="C31" s="39" t="str">
        <x:v>[Owner]</x:v>
      </x:c>
      <x:c r="D31" s="39" t="str">
        <x:v>[Date]</x:v>
      </x:c>
      <x:c r="E31" s="39" t="str">
        <x:v>Open</x:v>
      </x:c>
      <x:c r="F31" s="39" t="str">
        <x:v>[Evidence]</x:v>
      </x:c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39" t="str">
        <x:v>[Item]</x:v>
      </x:c>
      <x:c r="C32" s="39" t="str">
        <x:v>[Owner]</x:v>
      </x:c>
      <x:c r="D32" s="39" t="str">
        <x:v>[Date]</x:v>
      </x:c>
      <x:c r="E32" s="39" t="str">
        <x:v>Open</x:v>
      </x:c>
      <x:c r="F32" s="39" t="str">
        <x:v>[Evidence]</x:v>
      </x:c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39" t="str">
        <x:v>[Item]</x:v>
      </x:c>
      <x:c r="C33" s="39" t="str">
        <x:v>[Owner]</x:v>
      </x:c>
      <x:c r="D33" s="39" t="str">
        <x:v>[Date]</x:v>
      </x:c>
      <x:c r="E33" s="39" t="str">
        <x:v>Open</x:v>
      </x:c>
      <x:c r="F33" s="39" t="str">
        <x:v>[Evidence]</x:v>
      </x:c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39" t="str">
        <x:v>[Item]</x:v>
      </x:c>
      <x:c r="C34" s="39" t="str">
        <x:v>[Owner]</x:v>
      </x:c>
      <x:c r="D34" s="39" t="str">
        <x:v>[Date]</x:v>
      </x:c>
      <x:c r="E34" s="39" t="str">
        <x:v>Open</x:v>
      </x:c>
      <x:c r="F34" s="39" t="str">
        <x:v>[Evidence]</x:v>
      </x:c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46" t="str">
        <x:v>[Item]</x:v>
      </x:c>
      <x:c r="C35" s="46" t="str">
        <x:v>[Owner]</x:v>
      </x:c>
      <x:c r="D35" s="46" t="str">
        <x:v>[Date]</x:v>
      </x:c>
      <x:c r="E35" s="46" t="str">
        <x:v>Open</x:v>
      </x:c>
      <x:c r="F35" s="46" t="str">
        <x:v>[Evidence]</x:v>
      </x:c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5:F5"/>
    <x:mergeCell ref="B17:F17"/>
    <x:mergeCell ref="B26:F26"/>
  </x:mergeCells>
  <x:dataValidations count="1">
    <x:dataValidation type="list" sqref="E28:E35">
      <x:formula1>"Open,In progress,Complete,Not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43" hidden="0" customWidth="1"/>
    <x:col min="3" max="3" width="9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Funding Plan and Lender Package — guidance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Scope, use and source notes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8" t="str">
        <x:v>How to use this workbook</x:v>
      </x:c>
      <x:c r="C6" s="18"/>
      <x:c r="D6" s="18"/>
      <x:c r="E6" s="18"/>
      <x:c r="F6" s="18"/>
      <x:c r="G6" s="18"/>
      <x:c r="H6" s="18"/>
      <x:c r="I6" s="1"/>
      <x:c r="J6" s="1"/>
      <x:c r="K6" s="1"/>
      <x:c r="L6" s="1"/>
      <x:c r="M6" s="1"/>
      <x:c r="N6" s="1"/>
    </x:row>
    <x:row r="7" ht="30" customHeight="1">
      <x:c r="A7" s="1"/>
      <x:c r="B7" s="48" t="str">
        <x:v>1</x:v>
      </x:c>
      <x:c r="C7" s="49" t="str">
        <x:v>Replace yellow cells with facts from your transaction.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0" customHeight="1">
      <x:c r="A8" s="1"/>
      <x:c r="B8" s="48" t="str">
        <x:v>2</x:v>
      </x:c>
      <x:c r="C8" s="49" t="str">
        <x:v>Identify the source or evidence for material entries. Receiving a file does not verify its contents.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30" customHeight="1">
      <x:c r="A9" s="1"/>
      <x:c r="B9" s="48" t="str">
        <x:v>3</x:v>
      </x:c>
      <x:c r="C9" s="49" t="str">
        <x:v>Assign open items and dates. Keep adviser conclusions separate from buyer assumptions.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30" customHeight="1">
      <x:c r="A10" s="1"/>
      <x:c r="B10" s="48" t="str">
        <x:v>4</x:v>
      </x:c>
      <x:c r="C10" s="49" t="str">
        <x:v>Retain version dates and do not overwrite previously approved records.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30" customHeight="1">
      <x:c r="A11" s="1"/>
      <x:c r="B11" s="48" t="str">
        <x:v>5</x:v>
      </x:c>
      <x:c r="C11" s="49" t="str">
        <x:v>Have qualified advisers confirm legal, tax, accounting, valuation and financing matters.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8" t="str">
        <x:v>Public reference sources</x:v>
      </x:c>
      <x:c r="C14" s="18"/>
      <x:c r="D14" s="18"/>
      <x:c r="E14" s="18"/>
      <x:c r="F14" s="18"/>
      <x:c r="G14" s="18"/>
      <x:c r="H14" s="18"/>
      <x:c r="I14" s="1"/>
      <x:c r="J14" s="1"/>
      <x:c r="K14" s="1"/>
      <x:c r="L14" s="1"/>
      <x:c r="M14" s="1"/>
      <x:c r="N14" s="1"/>
    </x:row>
    <x:row r="15" ht="34" customHeight="1">
      <x:c r="A15" s="1"/>
      <x:c r="B15" s="52" t="str">
        <x:v>BDC — Due diligence when buying a business</x:v>
      </x:c>
      <x:c r="C15" s="53" t="str">
        <x:v>https://www.bdc.ca/en/articles-tools/start-buy-business/buy-business/buying-business-conducting-due-diligence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34" customHeight="1">
      <x:c r="A16" s="1"/>
      <x:c r="B16" s="52" t="str">
        <x:v>BDC — Steps to buying a business</x:v>
      </x:c>
      <x:c r="C16" s="53" t="str">
        <x:v>https://www.bdc.ca/en/articles-tools/start-buy-business/buy-business/what-are-steps-buying-business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34" customHeight="1">
      <x:c r="A17" s="1"/>
      <x:c r="B17" s="52" t="str">
        <x:v>CRA — Buying a business</x:v>
      </x:c>
      <x:c r="C17" s="53" t="str">
        <x:v>https://www.canada.ca/en/revenue-agency/services/tax/businesses/topics/business-registration/maintain-business/buying-business.html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34" customHeight="1">
      <x:c r="A18" s="1"/>
      <x:c r="B18" s="52" t="str">
        <x:v>SBA — Plan your business / buy an existing business</x:v>
      </x:c>
      <x:c r="C18" s="53" t="str">
        <x:v>https://www.sba.gov/counseling/plan-your-business/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