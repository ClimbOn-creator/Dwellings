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38456e14e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9fbdb0c4e1d4612"/>
    <x:sheet xmlns:r="http://schemas.openxmlformats.org/officeDocument/2006/relationships" name="Workspace" sheetId="2" r:id="R5e7c0dd2b09c4fb0"/>
    <x:sheet xmlns:r="http://schemas.openxmlformats.org/officeDocument/2006/relationships" name="Guidance" sheetId="3" r:id="Rabc0c585ec30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$#,##0;($#,##0);-"/>
  </x:numFmts>
  <x:fonts count="2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20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8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8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8" xfId="0" applyNumberFormat="1" applyFont="1" applyFill="1" applyBorder="1" applyAlignment="1">
      <x:alignment vertical="top" wrapText="1"/>
    </x:xf>
    <x:xf numFmtId="0" fontId="23" fillId="14" borderId="18" xfId="0" applyNumberFormat="1" applyFont="1" applyFill="1" applyBorder="1" applyAlignment="1">
      <x:alignment vertical="top" wrapText="1"/>
    </x:xf>
    <x:xf numFmtId="0" fontId="25" fillId="14" borderId="18" xfId="0" applyNumberFormat="1" applyFont="1" applyFill="1" applyBorder="1" applyAlignment="1">
      <x:alignment vertical="top" wrapText="1"/>
    </x:xf>
    <x:xf numFmtId="200" fontId="23" fillId="0" borderId="0" xfId="0" applyNumberFormat="1" applyFont="1" applyFill="1" applyBorder="1" applyAlignment="1">
      <x:alignment vertical="top" wrapText="1"/>
    </x:xf>
    <x:xf numFmtId="200" fontId="25" fillId="14" borderId="18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5" fillId="14" borderId="0" xfId="0" applyNumberFormat="1" applyFont="1" applyFill="1" applyBorder="1" applyAlignment="1">
      <x:alignment vertical="top" wrapText="1"/>
    </x:xf>
    <x:xf numFmtId="200" fontId="25" fillId="14" borderId="0" xfId="0" applyNumberFormat="1" applyFont="1" applyFill="1" applyBorder="1" applyAlignment="1">
      <x:alignment vertical="top" wrapText="1"/>
    </x:xf>
    <x:xf numFmtId="200" fontId="23" fillId="0" borderId="18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0" fontId="28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87f937ab743ec" /><Relationship Type="http://schemas.openxmlformats.org/officeDocument/2006/relationships/theme" Target="/xl/theme/theme1.xml" Id="Rdddaf4d4a02e4bec" /><Relationship Type="http://schemas.openxmlformats.org/officeDocument/2006/relationships/sharedStrings" Target="/xl/sharedStrings.xml" Id="Rfc319891ba9140ff" /><Relationship Type="http://schemas.openxmlformats.org/officeDocument/2006/relationships/worksheet" Target="/xl/worksheets/sheet1.xml" Id="R79fbdb0c4e1d4612" /><Relationship Type="http://schemas.openxmlformats.org/officeDocument/2006/relationships/worksheet" Target="/xl/worksheets/sheet2.xml" Id="R5e7c0dd2b09c4fb0" /><Relationship Type="http://schemas.openxmlformats.org/officeDocument/2006/relationships/worksheet" Target="/xl/worksheets/sheet3.xml" Id="Rabc0c585ec3048c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Working Capital, Debt and Asset Schedule</x:v>
      </x:c>
      <x:c r="C2" s="90"/>
      <x:c r="D2" s="90"/>
      <x:c r="E2" s="90"/>
      <x:c r="F2" s="90"/>
      <x:c r="G2" s="90"/>
      <x:c r="H2" s="90"/>
      <x:c r="I2" s="89"/>
      <x:c r="J2" s="94" t="str">
        <x:v>CLOSING ECONOMICS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Fictional completed example · Harbour Services Ltd. · CAD</x:v>
      </x:c>
      <x:c r="C3" s="91"/>
      <x:c r="D3" s="91"/>
      <x:c r="E3" s="91"/>
      <x:c r="F3" s="91"/>
      <x:c r="G3" s="91"/>
      <x:c r="H3" s="91"/>
      <x:c r="I3" s="89"/>
      <x:c r="J3" s="96" t="str">
        <x:v>Fictional example — do not treat as verified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This example is fictional. Verify every figure and obtain transaction-specific legal, tax, accounting and financing advice.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LATEST NET WORKING CAPITAL</x:v>
      </x:c>
      <x:c r="C8" s="94"/>
      <x:c r="D8" s="94"/>
      <x:c r="E8" s="94"/>
      <x:c r="F8" s="94" t="str">
        <x:v>ILLUSTRATIVE TARGET</x:v>
      </x:c>
      <x:c r="G8" s="94"/>
      <x:c r="H8" s="94"/>
      <x:c r="I8" s="94"/>
      <x:c r="J8" s="94" t="str">
        <x:v>EXCESS / (SHORTFALL)</x:v>
      </x:c>
      <x:c r="K8" s="94"/>
      <x:c r="L8" s="94"/>
      <x:c r="M8" s="94"/>
      <x:c r="N8" s="89"/>
      <x:c r="O8"/>
      <x:c r="P8"/>
      <x:c r="Q8"/>
    </x:row>
    <x:row r="9">
      <x:c r="A9" s="89"/>
      <x:c r="B9" s="104" t="n">
        <x:f>Workspace!F13</x:f>
        <x:v>85000</x:v>
      </x:c>
      <x:c r="C9" s="104"/>
      <x:c r="D9" s="104"/>
      <x:c r="E9" s="104"/>
      <x:c r="F9" s="104" t="n">
        <x:f>Workspace!C14</x:f>
        <x:v>76666.66666666667</x:v>
      </x:c>
      <x:c r="G9" s="104"/>
      <x:c r="H9" s="104"/>
      <x:c r="I9" s="104"/>
      <x:c r="J9" s="104" t="n">
        <x:f>B9-F9</x:f>
        <x:v>8333.333333333328</x:v>
      </x:c>
      <x:c r="K9" s="104"/>
      <x:c r="L9" s="104"/>
      <x:c r="M9" s="104"/>
      <x:c r="N9" s="89"/>
      <x:c r="O9"/>
      <x:c r="P9"/>
      <x:c r="Q9"/>
    </x:row>
    <x:row r="10" ht="20" customHeight="1">
      <x:c r="A10" s="89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89"/>
      <x:c r="O10"/>
      <x:c r="P10"/>
      <x:c r="Q10"/>
    </x:row>
    <x:row r="11" ht="27" customHeight="1">
      <x:c r="A11" s="89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6" t="str">
        <x:v>Debt and asset totals</x:v>
      </x:c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89"/>
      <x:c r="O14"/>
      <x:c r="P14"/>
      <x:c r="Q14"/>
    </x:row>
    <x:row r="15" ht="30" customHeight="1">
      <x:c r="A15" s="89"/>
      <x:c r="B15" s="117" t="str">
        <x:v>Metric</x:v>
      </x:c>
      <x:c r="C15" s="118" t="str">
        <x:v>Amount</x:v>
      </x:c>
      <x:c r="D15" s="118" t="str">
        <x:v>Status</x:v>
      </x:c>
      <x:c r="E15" s="119" t="str">
        <x:v>Evidence</x:v>
      </x:c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  <x:c r="Q15"/>
    </x:row>
    <x:row r="16">
      <x:c r="A16" s="89"/>
      <x:c r="B16" s="124" t="str">
        <x:v>Debt / lien payout required</x:v>
      </x:c>
      <x:c r="C16" s="128" t="n">
        <x:f>SUM(Workspace!D20:D26)</x:f>
        <x:v>107000</x:v>
      </x:c>
      <x:c r="D16" s="124" t="str">
        <x:v>Open</x:v>
      </x:c>
      <x:c r="E16" s="124" t="str">
        <x:v>Current payout letters</x:v>
      </x:c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  <x:c r="Q16"/>
    </x:row>
    <x:row r="17">
      <x:c r="A17" s="89"/>
      <x:c r="B17" s="124" t="str">
        <x:v>Included asset book value</x:v>
      </x:c>
      <x:c r="C17" s="128" t="n">
        <x:f>SUM(Workspace!E32:E41)</x:f>
        <x:v>90000</x:v>
      </x:c>
      <x:c r="D17" s="124" t="str">
        <x:v>Review</x:v>
      </x:c>
      <x:c r="E17" s="124" t="str">
        <x:v>Asset register and inspection</x:v>
      </x:c>
      <x:c r="F17" s="89"/>
      <x:c r="G17" s="89"/>
      <x:c r="H17" s="89"/>
      <x:c r="I17" s="89"/>
      <x:c r="J17" s="89"/>
      <x:c r="K17" s="89"/>
      <x:c r="L17" s="89"/>
      <x:c r="M17" s="89"/>
      <x:c r="N17" s="89"/>
      <x:c r="O17"/>
      <x:c r="P17"/>
      <x:c r="Q17"/>
    </x:row>
    <x:row r="18">
      <x:c r="A18" s="89"/>
      <x:c r="B18" s="125" t="str">
        <x:v>Opening cash reserve</x:v>
      </x:c>
      <x:c r="C18" s="129" t="n">
        <x:v>70000</x:v>
      </x:c>
      <x:c r="D18" s="125" t="str">
        <x:v>Input</x:v>
      </x:c>
      <x:c r="E18" s="125" t="str">
        <x:v>Buyer funding plan</x:v>
      </x:c>
      <x:c r="F18" s="89"/>
      <x:c r="G18" s="89"/>
      <x:c r="H18" s="89"/>
      <x:c r="I18" s="89"/>
      <x:c r="J18" s="89"/>
      <x:c r="K18" s="89"/>
      <x:c r="L18" s="89"/>
      <x:c r="M18" s="89"/>
      <x:c r="N18" s="89"/>
      <x:c r="O18"/>
      <x:c r="P18"/>
      <x:c r="Q18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18" style="27" hidden="0" customWidth="1"/>
    <x:col min="6" max="6" width="22" style="27" hidden="0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  <x:col min="2" max="2" width="15" hidden="0" customWidth="1"/>
    <x:col min="3" max="3" width="28" hidden="0" customWidth="1"/>
    <x:col min="4" max="4" width="16" hidden="0" customWidth="1"/>
    <x:col min="7" max="7" width="14" hidden="0" customWidth="1"/>
    <x:col min="8" max="8" width="32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Working capital, debt and assets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Fictional completed example · CAD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23" customHeight="1">
      <x:c r="A5" s="89"/>
      <x:c r="B5" s="106" t="str">
        <x:v>Working capital history</x:v>
      </x:c>
      <x:c r="C5" s="106"/>
      <x:c r="D5" s="106"/>
      <x:c r="E5" s="106"/>
      <x:c r="F5" s="106"/>
      <x:c r="G5" s="89"/>
      <x:c r="H5" s="89"/>
      <x:c r="I5" s="89"/>
      <x:c r="J5" s="89"/>
      <x:c r="K5" s="89"/>
      <x:c r="L5" s="89"/>
      <x:c r="M5" s="89"/>
      <x:c r="N5" s="89"/>
      <x:c r="O5"/>
      <x:c r="P5"/>
    </x:row>
    <x:row r="6" ht="30" customHeight="1">
      <x:c r="A6" s="89"/>
      <x:c r="B6" s="117" t="str">
        <x:v>Account</x:v>
      </x:c>
      <x:c r="C6" s="118" t="str">
        <x:v>FY 2023</x:v>
      </x:c>
      <x:c r="D6" s="118" t="str">
        <x:v>FY 2024</x:v>
      </x:c>
      <x:c r="E6" s="118" t="str">
        <x:v>FY 2025</x:v>
      </x:c>
      <x:c r="F6" s="119" t="str">
        <x:v>Latest</x:v>
      </x:c>
      <x:c r="G6" s="89"/>
      <x:c r="H6" s="89"/>
      <x:c r="I6" s="89"/>
      <x:c r="J6" s="89"/>
      <x:c r="K6" s="89"/>
      <x:c r="L6" s="89"/>
      <x:c r="M6" s="89"/>
      <x:c r="N6" s="89"/>
      <x:c r="O6"/>
      <x:c r="P6"/>
    </x:row>
    <x:row r="7" ht="22" customHeight="1">
      <x:c r="A7" s="89"/>
      <x:c r="B7" s="124" t="str">
        <x:v>Accounts receivable</x:v>
      </x:c>
      <x:c r="C7" s="132" t="n">
        <x:v>155000</x:v>
      </x:c>
      <x:c r="D7" s="132" t="n">
        <x:v>167000</x:v>
      </x:c>
      <x:c r="E7" s="132" t="n">
        <x:v>181000</x:v>
      </x:c>
      <x:c r="F7" s="132" t="n">
        <x:v>190000</x:v>
      </x:c>
      <x:c r="G7" s="89"/>
      <x:c r="H7" s="89"/>
      <x:c r="I7" s="89"/>
      <x:c r="J7" s="89"/>
      <x:c r="K7" s="89"/>
      <x:c r="L7" s="89"/>
      <x:c r="M7" s="89"/>
      <x:c r="N7" s="89"/>
      <x:c r="O7"/>
      <x:c r="P7"/>
    </x:row>
    <x:row r="8">
      <x:c r="A8" s="89"/>
      <x:c r="B8" s="124" t="str">
        <x:v>Inventory</x:v>
      </x:c>
      <x:c r="C8" s="132" t="n">
        <x:v>33000</x:v>
      </x:c>
      <x:c r="D8" s="132" t="n">
        <x:v>37000</x:v>
      </x:c>
      <x:c r="E8" s="132" t="n">
        <x:v>42000</x:v>
      </x:c>
      <x:c r="F8" s="132" t="n">
        <x:v>40000</x:v>
      </x:c>
      <x:c r="G8" s="89"/>
      <x:c r="H8" s="89"/>
      <x:c r="I8" s="89"/>
      <x:c r="J8" s="89"/>
      <x:c r="K8" s="89"/>
      <x:c r="L8" s="89"/>
      <x:c r="M8" s="89"/>
      <x:c r="N8" s="89"/>
      <x:c r="O8"/>
      <x:c r="P8"/>
    </x:row>
    <x:row r="9">
      <x:c r="A9" s="89"/>
      <x:c r="B9" s="124" t="str">
        <x:v>Prepaids</x:v>
      </x:c>
      <x:c r="C9" s="132" t="n">
        <x:v>9000</x:v>
      </x:c>
      <x:c r="D9" s="132" t="n">
        <x:v>11000</x:v>
      </x:c>
      <x:c r="E9" s="132" t="n">
        <x:v>12000</x:v>
      </x:c>
      <x:c r="F9" s="132" t="n">
        <x:v>13000</x:v>
      </x:c>
      <x:c r="G9" s="89"/>
      <x:c r="H9" s="89"/>
      <x:c r="I9" s="89"/>
      <x:c r="J9" s="89"/>
      <x:c r="K9" s="89"/>
      <x:c r="L9" s="89"/>
      <x:c r="M9" s="89"/>
      <x:c r="N9" s="89"/>
      <x:c r="O9"/>
      <x:c r="P9"/>
    </x:row>
    <x:row r="10" ht="26">
      <x:c r="A10" s="89"/>
      <x:c r="B10" s="124" t="str">
        <x:v>Accounts payable</x:v>
      </x:c>
      <x:c r="C10" s="132" t="n">
        <x:v>-89000</x:v>
      </x:c>
      <x:c r="D10" s="132" t="n">
        <x:v>-94000</x:v>
      </x:c>
      <x:c r="E10" s="132" t="n">
        <x:v>-102000</x:v>
      </x:c>
      <x:c r="F10" s="132" t="n">
        <x:v>-108000</x:v>
      </x:c>
      <x:c r="G10" s="89"/>
      <x:c r="H10" s="89"/>
      <x:c r="I10" s="89"/>
      <x:c r="J10" s="89"/>
      <x:c r="K10" s="89"/>
      <x:c r="L10" s="89"/>
      <x:c r="M10" s="89"/>
      <x:c r="N10" s="89"/>
      <x:c r="O10"/>
      <x:c r="P10"/>
    </x:row>
    <x:row r="11">
      <x:c r="A11" s="89"/>
      <x:c r="B11" s="124" t="str">
        <x:v>Accrued liabilities</x:v>
      </x:c>
      <x:c r="C11" s="132" t="n">
        <x:v>-31000</x:v>
      </x:c>
      <x:c r="D11" s="132" t="n">
        <x:v>-34000</x:v>
      </x:c>
      <x:c r="E11" s="132" t="n">
        <x:v>-37000</x:v>
      </x:c>
      <x:c r="F11" s="132" t="n">
        <x:v>-39000</x:v>
      </x:c>
      <x:c r="G11" s="89"/>
      <x:c r="H11" s="89"/>
      <x:c r="I11" s="89"/>
      <x:c r="J11" s="89"/>
      <x:c r="K11" s="89"/>
      <x:c r="L11" s="89"/>
      <x:c r="M11" s="89"/>
      <x:c r="N11" s="89"/>
      <x:c r="O11"/>
      <x:c r="P11"/>
    </x:row>
    <x:row r="12">
      <x:c r="A12" s="89"/>
      <x:c r="B12" s="124" t="str">
        <x:v>Deferred revenue</x:v>
      </x:c>
      <x:c r="C12" s="132" t="n">
        <x:v>-8000</x:v>
      </x:c>
      <x:c r="D12" s="132" t="n">
        <x:v>-10000</x:v>
      </x:c>
      <x:c r="E12" s="132" t="n">
        <x:v>-12000</x:v>
      </x:c>
      <x:c r="F12" s="132" t="n">
        <x:v>-11000</x:v>
      </x:c>
      <x:c r="G12" s="89"/>
      <x:c r="H12" s="89"/>
      <x:c r="I12" s="89"/>
      <x:c r="J12" s="89"/>
      <x:c r="K12" s="89"/>
      <x:c r="L12" s="89"/>
      <x:c r="M12" s="89"/>
      <x:c r="N12" s="89"/>
      <x:c r="O12"/>
      <x:c r="P12"/>
    </x:row>
    <x:row r="13" ht="22" customHeight="1">
      <x:c r="A13" s="89"/>
      <x:c r="B13" s="124" t="str">
        <x:v>Net working capital</x:v>
      </x:c>
      <x:c r="C13" s="128" t="n">
        <x:f>SUM(C7:C12)</x:f>
        <x:v>69000</x:v>
      </x:c>
      <x:c r="D13" s="128" t="n">
        <x:f>SUM(D7:D12)</x:f>
        <x:v>77000</x:v>
      </x:c>
      <x:c r="E13" s="128" t="n">
        <x:f>SUM(E7:E12)</x:f>
        <x:v>84000</x:v>
      </x:c>
      <x:c r="F13" s="128" t="n">
        <x:f>SUM(F7:F12)</x:f>
        <x:v>85000</x:v>
      </x:c>
      <x:c r="G13" s="89"/>
      <x:c r="H13" s="89"/>
      <x:c r="I13" s="89"/>
      <x:c r="J13" s="89"/>
      <x:c r="K13" s="89"/>
      <x:c r="L13" s="89"/>
      <x:c r="M13" s="89"/>
      <x:c r="N13" s="89"/>
      <x:c r="O13"/>
      <x:c r="P13"/>
    </x:row>
    <x:row r="14">
      <x:c r="A14" s="89"/>
      <x:c r="B14" s="125" t="str">
        <x:v>Normalized period average</x:v>
      </x:c>
      <x:c r="C14" s="133" t="n">
        <x:f>AVERAGE(C13:E13)</x:f>
        <x:v>76666.66666666667</x:v>
      </x:c>
      <x:c r="D14" s="133"/>
      <x:c r="E14" s="133"/>
      <x:c r="F14" s="133"/>
      <x:c r="G14" s="89"/>
      <x:c r="H14" s="89"/>
      <x:c r="I14" s="89"/>
      <x:c r="J14" s="89"/>
      <x:c r="K14" s="89"/>
      <x:c r="L14" s="89"/>
      <x:c r="M14" s="89"/>
      <x:c r="N14" s="89"/>
      <x:c r="O14"/>
      <x:c r="P14"/>
    </x:row>
    <x:row r="15" ht="34" customHeight="1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/>
      <x:c r="P17"/>
    </x:row>
    <x:row r="18" ht="23" customHeight="1">
      <x:c r="A18" s="89"/>
      <x:c r="B18" s="106" t="str">
        <x:v>Debt and liens</x:v>
      </x:c>
      <x:c r="C18" s="106"/>
      <x:c r="D18" s="106"/>
      <x:c r="E18" s="106"/>
      <x:c r="F18" s="106"/>
      <x:c r="G18" s="89"/>
      <x:c r="H18" s="89"/>
      <x:c r="I18" s="89"/>
      <x:c r="J18" s="89"/>
      <x:c r="K18" s="89"/>
      <x:c r="L18" s="89"/>
      <x:c r="M18" s="89"/>
      <x:c r="N18" s="89"/>
      <x:c r="O18"/>
      <x:c r="P18"/>
    </x:row>
    <x:row r="19" ht="30" customHeight="1">
      <x:c r="A19" s="89"/>
      <x:c r="B19" s="117" t="str">
        <x:v>Lender / lienholder</x:v>
      </x:c>
      <x:c r="C19" s="118" t="str">
        <x:v>Facility or asset</x:v>
      </x:c>
      <x:c r="D19" s="118" t="str">
        <x:v>Current balance</x:v>
      </x:c>
      <x:c r="E19" s="118" t="str">
        <x:v>Payout required</x:v>
      </x:c>
      <x:c r="F19" s="119" t="str">
        <x:v>Release evidence</x:v>
      </x:c>
      <x:c r="G19" s="89"/>
      <x:c r="H19" s="89"/>
      <x:c r="I19" s="89"/>
      <x:c r="J19" s="89"/>
      <x:c r="K19" s="89"/>
      <x:c r="L19" s="89"/>
      <x:c r="M19" s="89"/>
      <x:c r="N19" s="89"/>
      <x:c r="O19"/>
      <x:c r="P19"/>
    </x:row>
    <x:row r="20">
      <x:c r="A20" s="89"/>
      <x:c r="B20" s="131" t="str">
        <x:v>Coastal Bank</x:v>
      </x:c>
      <x:c r="C20" s="131" t="str">
        <x:v>Equipment loan</x:v>
      </x:c>
      <x:c r="D20" s="132" t="n">
        <x:v>85000</x:v>
      </x:c>
      <x:c r="E20" s="132" t="n">
        <x:v>85000</x:v>
      </x:c>
      <x:c r="F20" s="131" t="str">
        <x:v>Payout letter pending</x:v>
      </x:c>
      <x:c r="G20" s="89"/>
      <x:c r="H20" s="89"/>
      <x:c r="I20" s="89"/>
      <x:c r="J20" s="89"/>
      <x:c r="K20" s="89"/>
      <x:c r="L20" s="89"/>
      <x:c r="M20" s="89"/>
      <x:c r="N20" s="89"/>
      <x:c r="O20"/>
      <x:c r="P20"/>
    </x:row>
    <x:row r="21">
      <x:c r="A21" s="89"/>
      <x:c r="B21" s="131" t="str">
        <x:v>Vehicle Finance Co.</x:v>
      </x:c>
      <x:c r="C21" s="131" t="str">
        <x:v>Vehicle lien</x:v>
      </x:c>
      <x:c r="D21" s="132" t="n">
        <x:v>22000</x:v>
      </x:c>
      <x:c r="E21" s="132" t="n">
        <x:v>22000</x:v>
      </x:c>
      <x:c r="F21" s="131" t="str">
        <x:v>Current statement only</x:v>
      </x:c>
      <x:c r="G21" s="89"/>
      <x:c r="H21" s="89"/>
      <x:c r="I21" s="89"/>
      <x:c r="J21" s="89"/>
      <x:c r="K21" s="89"/>
      <x:c r="L21" s="89"/>
      <x:c r="M21" s="89"/>
      <x:c r="N21" s="89"/>
      <x:c r="O21"/>
      <x:c r="P21"/>
    </x:row>
    <x:row r="22">
      <x:c r="A22" s="89"/>
      <x:c r="B22" s="131" t="str"/>
      <x:c r="C22" s="131" t="str"/>
      <x:c r="D22" s="132"/>
      <x:c r="E22" s="132"/>
      <x:c r="F22" s="131" t="str"/>
      <x:c r="G22" s="89"/>
      <x:c r="H22" s="89"/>
      <x:c r="I22" s="89"/>
      <x:c r="J22" s="89"/>
      <x:c r="K22" s="89"/>
      <x:c r="L22" s="89"/>
      <x:c r="M22" s="89"/>
      <x:c r="N22" s="89"/>
      <x:c r="O22"/>
      <x:c r="P22"/>
    </x:row>
    <x:row r="23">
      <x:c r="A23" s="89"/>
      <x:c r="B23" s="131" t="str"/>
      <x:c r="C23" s="131" t="str"/>
      <x:c r="D23" s="132"/>
      <x:c r="E23" s="132"/>
      <x:c r="F23" s="131" t="str"/>
      <x:c r="G23" s="89"/>
      <x:c r="H23" s="89"/>
      <x:c r="I23" s="89"/>
      <x:c r="J23" s="89"/>
      <x:c r="K23" s="89"/>
      <x:c r="L23" s="89"/>
      <x:c r="M23" s="89"/>
      <x:c r="N23" s="89"/>
      <x:c r="O23"/>
      <x:c r="P23"/>
    </x:row>
    <x:row r="24">
      <x:c r="A24" s="89"/>
      <x:c r="B24" s="131" t="str"/>
      <x:c r="C24" s="131" t="str"/>
      <x:c r="D24" s="132"/>
      <x:c r="E24" s="132"/>
      <x:c r="F24" s="131" t="str"/>
      <x:c r="G24" s="89"/>
      <x:c r="H24" s="89"/>
      <x:c r="I24" s="89"/>
      <x:c r="J24" s="89"/>
      <x:c r="K24" s="89"/>
      <x:c r="L24" s="89"/>
      <x:c r="M24" s="89"/>
      <x:c r="N24" s="89"/>
      <x:c r="O24"/>
      <x:c r="P24"/>
    </x:row>
    <x:row r="25">
      <x:c r="A25" s="89"/>
      <x:c r="B25" s="131" t="str"/>
      <x:c r="C25" s="131" t="str"/>
      <x:c r="D25" s="132"/>
      <x:c r="E25" s="132"/>
      <x:c r="F25" s="131" t="str"/>
      <x:c r="G25" s="89"/>
      <x:c r="H25" s="89"/>
      <x:c r="I25" s="89"/>
      <x:c r="J25" s="89"/>
      <x:c r="K25" s="89"/>
      <x:c r="L25" s="89"/>
      <x:c r="M25" s="89"/>
      <x:c r="N25" s="89"/>
      <x:c r="O25"/>
      <x:c r="P25"/>
    </x:row>
    <x:row r="26">
      <x:c r="A26" s="89"/>
      <x:c r="B26" s="127" t="str"/>
      <x:c r="C26" s="127" t="str"/>
      <x:c r="D26" s="129"/>
      <x:c r="E26" s="129"/>
      <x:c r="F26" s="127" t="str"/>
      <x:c r="G26" s="89"/>
      <x:c r="H26" s="89"/>
      <x:c r="I26" s="89"/>
      <x:c r="J26" s="89"/>
      <x:c r="K26" s="89"/>
      <x:c r="L26" s="89"/>
      <x:c r="M26" s="89"/>
      <x:c r="N26" s="89"/>
      <x:c r="O26"/>
      <x:c r="P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</x:row>
    <x:row r="30" ht="23" customHeight="1">
      <x:c r="A30" s="89"/>
      <x:c r="B30" s="106" t="str">
        <x:v>Included asset register</x:v>
      </x:c>
      <x:c r="C30" s="106"/>
      <x:c r="D30" s="106"/>
      <x:c r="E30" s="106"/>
      <x:c r="F30" s="106"/>
      <x:c r="G30" s="106"/>
      <x:c r="H30" s="89"/>
      <x:c r="I30" s="89"/>
      <x:c r="J30" s="89"/>
      <x:c r="K30" s="89"/>
      <x:c r="L30" s="89"/>
      <x:c r="M30" s="89"/>
      <x:c r="N30" s="89"/>
      <x:c r="O30"/>
      <x:c r="P30"/>
    </x:row>
    <x:row r="31" ht="30" customHeight="1">
      <x:c r="A31" s="89"/>
      <x:c r="B31" s="117" t="str">
        <x:v>Asset ID</x:v>
      </x:c>
      <x:c r="C31" s="118" t="str">
        <x:v>Description</x:v>
      </x:c>
      <x:c r="D31" s="118" t="str">
        <x:v>Condition</x:v>
      </x:c>
      <x:c r="E31" s="118" t="str">
        <x:v>Book value</x:v>
      </x:c>
      <x:c r="F31" s="118" t="str">
        <x:v>Estimated market value</x:v>
      </x:c>
      <x:c r="G31" s="118" t="str">
        <x:v>Included</x:v>
      </x:c>
      <x:c r="H31" s="119" t="str">
        <x:v>Inspection / title evidence</x:v>
      </x:c>
      <x:c r="I31" s="89"/>
      <x:c r="J31" s="89"/>
      <x:c r="K31" s="89"/>
      <x:c r="L31" s="89"/>
      <x:c r="M31" s="89"/>
      <x:c r="N31" s="89"/>
      <x:c r="O31"/>
      <x:c r="P31"/>
    </x:row>
    <x:row r="32">
      <x:c r="A32" s="89"/>
      <x:c r="B32" s="131" t="str">
        <x:v>A-001</x:v>
      </x:c>
      <x:c r="C32" s="131" t="str">
        <x:v>Service van 2022</x:v>
      </x:c>
      <x:c r="D32" s="131" t="str">
        <x:v>Good</x:v>
      </x:c>
      <x:c r="E32" s="132" t="n">
        <x:v>42000</x:v>
      </x:c>
      <x:c r="F32" s="132" t="n">
        <x:v>48000</x:v>
      </x:c>
      <x:c r="G32" s="131" t="str">
        <x:v>Yes</x:v>
      </x:c>
      <x:c r="H32" s="131" t="str">
        <x:v>Inspection booked</x:v>
      </x:c>
      <x:c r="I32" s="89"/>
      <x:c r="J32" s="89"/>
      <x:c r="K32" s="89"/>
      <x:c r="L32" s="89"/>
      <x:c r="M32" s="89"/>
      <x:c r="N32" s="89"/>
      <x:c r="O32"/>
      <x:c r="P32"/>
    </x:row>
    <x:row r="33">
      <x:c r="A33" s="89"/>
      <x:c r="B33" s="131" t="str">
        <x:v>A-002</x:v>
      </x:c>
      <x:c r="C33" s="131" t="str">
        <x:v>Diagnostic equipment</x:v>
      </x:c>
      <x:c r="D33" s="131" t="str">
        <x:v>Fair</x:v>
      </x:c>
      <x:c r="E33" s="132" t="n">
        <x:v>18000</x:v>
      </x:c>
      <x:c r="F33" s="132" t="n">
        <x:v>20000</x:v>
      </x:c>
      <x:c r="G33" s="131" t="str">
        <x:v>Yes</x:v>
      </x:c>
      <x:c r="H33" s="131" t="str">
        <x:v>Serials reconciled</x:v>
      </x:c>
      <x:c r="I33" s="89"/>
      <x:c r="J33" s="89"/>
      <x:c r="K33" s="89"/>
      <x:c r="L33" s="89"/>
      <x:c r="M33" s="89"/>
      <x:c r="N33" s="89"/>
      <x:c r="O33"/>
      <x:c r="P33"/>
    </x:row>
    <x:row r="34">
      <x:c r="A34" s="89"/>
      <x:c r="B34" s="131" t="str">
        <x:v>A-003</x:v>
      </x:c>
      <x:c r="C34" s="131" t="str">
        <x:v>Seller personal vehicle</x:v>
      </x:c>
      <x:c r="D34" s="131" t="str">
        <x:v>Good</x:v>
      </x:c>
      <x:c r="E34" s="132" t="n">
        <x:v>30000</x:v>
      </x:c>
      <x:c r="F34" s="132" t="n">
        <x:v>33000</x:v>
      </x:c>
      <x:c r="G34" s="131" t="str">
        <x:v>No</x:v>
      </x:c>
      <x:c r="H34" s="131" t="str">
        <x:v>Excluded schedule</x:v>
      </x:c>
      <x:c r="I34" s="89"/>
      <x:c r="J34" s="89"/>
      <x:c r="K34" s="89"/>
      <x:c r="L34" s="89"/>
      <x:c r="M34" s="89"/>
      <x:c r="N34" s="89"/>
      <x:c r="O34"/>
      <x:c r="P34"/>
    </x:row>
    <x:row r="35">
      <x:c r="A35" s="89"/>
      <x:c r="B35" s="131" t="str"/>
      <x:c r="C35" s="131" t="str"/>
      <x:c r="D35" s="131" t="str"/>
      <x:c r="E35" s="132"/>
      <x:c r="F35" s="132"/>
      <x:c r="G35" s="131" t="str"/>
      <x:c r="H35" s="131" t="str"/>
      <x:c r="I35" s="89"/>
      <x:c r="J35" s="89"/>
      <x:c r="K35" s="89"/>
      <x:c r="L35" s="89"/>
      <x:c r="M35" s="89"/>
      <x:c r="N35" s="89"/>
      <x:c r="O35"/>
      <x:c r="P35"/>
    </x:row>
    <x:row r="36">
      <x:c r="A36" s="89"/>
      <x:c r="B36" s="131" t="str"/>
      <x:c r="C36" s="131" t="str"/>
      <x:c r="D36" s="131" t="str"/>
      <x:c r="E36" s="132"/>
      <x:c r="F36" s="132"/>
      <x:c r="G36" s="131" t="str"/>
      <x:c r="H36" s="131" t="str"/>
      <x:c r="I36" s="89"/>
      <x:c r="J36" s="89"/>
      <x:c r="K36" s="89"/>
      <x:c r="L36" s="89"/>
      <x:c r="M36" s="89"/>
      <x:c r="N36" s="89"/>
    </x:row>
    <x:row r="37">
      <x:c r="A37" s="89"/>
      <x:c r="B37" s="131" t="str"/>
      <x:c r="C37" s="131" t="str"/>
      <x:c r="D37" s="131" t="str"/>
      <x:c r="E37" s="132"/>
      <x:c r="F37" s="132"/>
      <x:c r="G37" s="131" t="str"/>
      <x:c r="H37" s="131" t="str"/>
      <x:c r="I37" s="89"/>
      <x:c r="J37" s="89"/>
      <x:c r="K37" s="89"/>
      <x:c r="L37" s="89"/>
      <x:c r="M37" s="89"/>
      <x:c r="N37" s="89"/>
    </x:row>
    <x:row r="38">
      <x:c r="A38" s="89"/>
      <x:c r="B38" s="131" t="str"/>
      <x:c r="C38" s="131" t="str"/>
      <x:c r="D38" s="131" t="str"/>
      <x:c r="E38" s="132"/>
      <x:c r="F38" s="132"/>
      <x:c r="G38" s="131" t="str"/>
      <x:c r="H38" s="131" t="str"/>
      <x:c r="I38" s="89"/>
      <x:c r="J38" s="89"/>
      <x:c r="K38" s="89"/>
      <x:c r="L38" s="89"/>
      <x:c r="M38" s="89"/>
      <x:c r="N38" s="89"/>
    </x:row>
    <x:row r="39">
      <x:c r="A39" s="89"/>
      <x:c r="B39" s="131" t="str"/>
      <x:c r="C39" s="131" t="str"/>
      <x:c r="D39" s="131" t="str"/>
      <x:c r="E39" s="132"/>
      <x:c r="F39" s="132"/>
      <x:c r="G39" s="131" t="str"/>
      <x:c r="H39" s="131" t="str"/>
      <x:c r="I39" s="89"/>
      <x:c r="J39" s="89"/>
      <x:c r="K39" s="89"/>
      <x:c r="L39" s="89"/>
      <x:c r="M39" s="89"/>
      <x:c r="N39" s="89"/>
    </x:row>
    <x:row r="40">
      <x:c r="A40" s="89"/>
      <x:c r="B40" s="131" t="str"/>
      <x:c r="C40" s="131" t="str"/>
      <x:c r="D40" s="131" t="str"/>
      <x:c r="E40" s="132"/>
      <x:c r="F40" s="132"/>
      <x:c r="G40" s="131" t="str"/>
      <x:c r="H40" s="131" t="str"/>
      <x:c r="I40" s="89"/>
      <x:c r="J40" s="89"/>
      <x:c r="K40" s="89"/>
      <x:c r="L40" s="89"/>
      <x:c r="M40" s="89"/>
      <x:c r="N40" s="89"/>
    </x:row>
    <x:row r="41">
      <x:c r="A41" s="89"/>
      <x:c r="B41" s="127" t="str"/>
      <x:c r="C41" s="127" t="str"/>
      <x:c r="D41" s="127" t="str"/>
      <x:c r="E41" s="129"/>
      <x:c r="F41" s="129"/>
      <x:c r="G41" s="127" t="str"/>
      <x:c r="H41" s="127" t="str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  <x:mergeCell ref="B5:F5"/>
    <x:mergeCell ref="B18:F18"/>
    <x:mergeCell ref="B30:G30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Working Capital, Debt and Asset Schedule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6" t="str">
        <x:v>How to use this workbook</x:v>
      </x:c>
      <x:c r="C6" s="106"/>
      <x:c r="D6" s="106"/>
      <x:c r="E6" s="106">
        <x:f t="shared" si="0"/>
      </x:c>
      <x:c r="F6" s="106">
        <x:f t="shared" si="1"/>
      </x:c>
      <x:c r="G6" s="106"/>
      <x:c r="H6" s="106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5" t="str">
        <x:v>1</x:v>
      </x:c>
      <x:c r="C7" s="136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5" t="str">
        <x:v>2</x:v>
      </x:c>
      <x:c r="C8" s="136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5" t="str">
        <x:v>3</x:v>
      </x:c>
      <x:c r="C9" s="136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5" t="str">
        <x:v>4</x:v>
      </x:c>
      <x:c r="C10" s="136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5" t="str">
        <x:v>5</x:v>
      </x:c>
      <x:c r="C11" s="136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6" t="str">
        <x:v>Public reference sources</x:v>
      </x:c>
      <x:c r="C14" s="106"/>
      <x:c r="D14" s="106"/>
      <x:c r="E14" s="106"/>
      <x:c r="F14" s="106"/>
      <x:c r="G14" s="106"/>
      <x:c r="H14" s="106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39" t="str">
        <x:v>BDC — Due diligence when buying a business</x:v>
      </x:c>
      <x:c r="C15" s="140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39" t="str">
        <x:v>BDC — Buying a Business in Canada</x:v>
      </x:c>
      <x:c r="C16" s="140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39" t="str">
        <x:v>CRA — Buying a business</x:v>
      </x:c>
      <x:c r="C17" s="140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39" t="str">
        <x:v>SBA — Plan your business / buy an existing business</x:v>
      </x:c>
      <x:c r="C18" s="140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