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c4054814a44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30c32de0bd34313"/>
    <x:sheet xmlns:r="http://schemas.openxmlformats.org/officeDocument/2006/relationships" name="Workspace" sheetId="2" r:id="Rea9a4ec37e884388"/>
    <x:sheet xmlns:r="http://schemas.openxmlformats.org/officeDocument/2006/relationships" name="Guidance" sheetId="3" r:id="R2cd242b3cfbb41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;($#,##0);-"/>
  </x:numFmts>
  <x:fonts count="14">
    <x:font>
      <x:sz val="11"/>
      <x:name val="Carlito"/>
    </x:font>
    <x:font>
      <x:sz val="10"/>
      <x:color rgb="FF182230"/>
      <x:name val="Arial"/>
    </x:font>
    <x:font>
      <x:b/>
      <x:sz val="15"/>
      <x:color rgb="FF0D1B2A"/>
      <x:name val="Arial"/>
    </x:font>
    <x:font>
      <x:i/>
      <x:sz val="9"/>
      <x:color rgb="FF64748B"/>
      <x:name val="Arial"/>
    </x:font>
    <x:font>
      <x:b/>
      <x:sz val="8"/>
      <x:color rgb="FFA7B4C2"/>
      <x:name val="Arial"/>
    </x:font>
    <x:font>
      <x:sz val="9"/>
      <x:color rgb="FFFFFFFF"/>
      <x:name val="Arial"/>
    </x:font>
    <x:font>
      <x:sz val="9"/>
      <x:color rgb="FF182230"/>
      <x:name val="Arial"/>
    </x:font>
    <x:font>
      <x:b/>
      <x:sz val="18"/>
      <x:color rgb="FFFFFFFF"/>
      <x:name val="Arial"/>
    </x:font>
    <x:font>
      <x:b/>
      <x:sz val="10"/>
      <x:color rgb="FFFFFFFF"/>
      <x:name val="Arial"/>
    </x:font>
    <x:font>
      <x:b/>
      <x:sz val="9"/>
      <x:color rgb="FFFFFFFF"/>
      <x:name val="Arial"/>
    </x:font>
    <x:font>
      <x:sz val="9"/>
      <x:color rgb="FF1D4ED8"/>
      <x:name val="Arial"/>
    </x:font>
    <x:font>
      <x:b/>
      <x:sz val="10"/>
      <x:color rgb="FF1D4ED8"/>
      <x:name val="Arial"/>
    </x:font>
    <x:font>
      <x:b/>
      <x:sz val="9"/>
      <x:color rgb="FF182230"/>
      <x:name val="Arial"/>
    </x:font>
    <x:font>
      <x:sz val="8"/>
      <x:color rgb="FF1D4ED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9324A"/>
      </x:patternFill>
    </x:fill>
    <x:fill>
      <x:patternFill patternType="solid">
        <x:fgColor rgb="FFFFF4CC"/>
      </x:patternFill>
    </x:fill>
    <x:fill>
      <x:patternFill patternType="solid">
        <x:fgColor rgb="FF0D1B2A"/>
      </x:patternFill>
    </x:fill>
  </x:fills>
  <x:borders count="6">
    <x:border/>
    <x:border>
      <x:bottom style="medium">
        <x:color rgb="FF0D1B2A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CBD5E1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left"/>
    </x:xf>
    <x:xf numFmtId="0" fontId="7" fillId="4" borderId="0" xfId="0" applyNumberFormat="1" applyFont="1" applyFill="1" applyBorder="1" applyAlignment="1">
      <x:alignment horizontal="left" vertical="center"/>
    </x:xf>
    <x:xf numFmtId="200" fontId="7" fillId="4" borderId="0" xfId="0" applyNumberFormat="1" applyFont="1" applyFill="1" applyBorder="1" applyAlignment="1">
      <x:alignment horizontal="left" vertic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/>
    <x:xf numFmtId="0" fontId="9" fillId="2" borderId="2" xfId="0" applyNumberFormat="1" applyFont="1" applyFill="1" applyBorder="1"/>
    <x:xf numFmtId="0" fontId="9" fillId="2" borderId="3" xfId="0" applyNumberFormat="1" applyFont="1" applyFill="1" applyBorder="1"/>
    <x:xf numFmtId="0" fontId="9" fillId="2" borderId="4" xfId="0" applyNumberFormat="1" applyFont="1" applyFill="1" applyBorder="1"/>
    <x:xf numFmtId="0" fontId="9" fillId="2" borderId="2" xfId="0" applyNumberFormat="1" applyFont="1" applyFill="1" applyBorder="1" applyAlignment="1">
      <x:alignment wrapText="1"/>
    </x:xf>
    <x:xf numFmtId="0" fontId="9" fillId="2" borderId="3" xfId="0" applyNumberFormat="1" applyFont="1" applyFill="1" applyBorder="1" applyAlignment="1">
      <x:alignment wrapText="1"/>
    </x:xf>
    <x:xf numFmtId="0" fontId="9" fillId="2" borderId="4" xfId="0" applyNumberFormat="1" applyFont="1" applyFill="1" applyBorder="1" applyAlignment="1">
      <x:alignment wrapText="1"/>
    </x:xf>
    <x:xf numFmtId="0" fontId="9" fillId="2" borderId="2" xfId="0" applyNumberFormat="1" applyFont="1" applyFill="1" applyBorder="1" applyAlignment="1">
      <x:alignment horizontal="center" wrapText="1"/>
    </x:xf>
    <x:xf numFmtId="0" fontId="9" fillId="2" borderId="3" xfId="0" applyNumberFormat="1" applyFont="1" applyFill="1" applyBorder="1" applyAlignment="1">
      <x:alignment horizontal="center" wrapText="1"/>
    </x:xf>
    <x:xf numFmtId="0" fontId="9" fillId="2" borderId="4" xfId="0" applyNumberFormat="1" applyFont="1" applyFill="1" applyBorder="1" applyAlignment="1">
      <x:alignment horizontal="center" wrapText="1"/>
    </x:xf>
    <x:xf numFmtId="0" fontId="9" fillId="2" borderId="2" xfId="0" applyNumberFormat="1" applyFont="1" applyFill="1" applyBorder="1" applyAlignment="1">
      <x:alignment horizontal="center" vertical="center" wrapText="1"/>
    </x:xf>
    <x:xf numFmtId="0" fontId="9" fillId="2" borderId="3" xfId="0" applyNumberFormat="1" applyFont="1" applyFill="1" applyBorder="1" applyAlignment="1">
      <x:alignment horizontal="center" vertical="center" wrapText="1"/>
    </x:xf>
    <x:xf numFmtId="0" fontId="9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5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6" fillId="3" borderId="5" xfId="0" applyNumberFormat="1" applyFont="1" applyFill="1" applyBorder="1" applyAlignment="1">
      <x:alignment vertical="top" wrapText="1"/>
    </x:xf>
    <x:xf numFmtId="0" fontId="10" fillId="3" borderId="5" xfId="0" applyNumberFormat="1" applyFont="1" applyFill="1" applyBorder="1" applyAlignment="1">
      <x:alignment vertical="top" wrapText="1"/>
    </x:xf>
    <x:xf numFmtId="200" fontId="6" fillId="0" borderId="0" xfId="0" applyNumberFormat="1" applyFont="1" applyFill="1" applyBorder="1" applyAlignment="1">
      <x:alignment vertical="top" wrapText="1"/>
    </x:xf>
    <x:xf numFmtId="200" fontId="10" fillId="3" borderId="5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200" fontId="10" fillId="3" borderId="0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76df24a5d142dd" /><Relationship Type="http://schemas.openxmlformats.org/officeDocument/2006/relationships/theme" Target="/xl/theme/theme1.xml" Id="Rc148965860e641d6" /><Relationship Type="http://schemas.openxmlformats.org/officeDocument/2006/relationships/sharedStrings" Target="/xl/sharedStrings.xml" Id="R117e73016cc54170" /><Relationship Type="http://schemas.openxmlformats.org/officeDocument/2006/relationships/worksheet" Target="/xl/worksheets/sheet1.xml" Id="R730c32de0bd34313" /><Relationship Type="http://schemas.openxmlformats.org/officeDocument/2006/relationships/worksheet" Target="/xl/worksheets/sheet2.xml" Id="Rea9a4ec37e884388" /><Relationship Type="http://schemas.openxmlformats.org/officeDocument/2006/relationships/worksheet" Target="/xl/worksheets/sheet3.xml" Id="R2cd242b3cfbb41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5" hidden="0" customWidth="1"/>
    <x:col min="2" max="2" width="2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1"/>
      <x:c r="B2" s="2" t="str">
        <x:v>Working Capital, Debt and Asset Schedule</x:v>
      </x:c>
      <x:c r="C2" s="2"/>
      <x:c r="D2" s="2"/>
      <x:c r="E2" s="2"/>
      <x:c r="F2" s="2"/>
      <x:c r="G2" s="2"/>
      <x:c r="H2" s="2"/>
      <x:c r="I2" s="1"/>
      <x:c r="J2" s="6" t="str">
        <x:v>CLOSING ECONOMICS</x:v>
      </x:c>
      <x:c r="K2" s="6"/>
      <x:c r="L2" s="6"/>
      <x:c r="M2" s="6"/>
      <x:c r="N2" s="6"/>
    </x:row>
    <x:row r="3">
      <x:c r="A3" s="1"/>
      <x:c r="B3" s="3" t="str">
        <x:v>Illustrative working file · Harbour Services Ltd. · CAD</x:v>
      </x:c>
      <x:c r="C3" s="3"/>
      <x:c r="D3" s="3"/>
      <x:c r="E3" s="3"/>
      <x:c r="F3" s="3"/>
      <x:c r="G3" s="3"/>
      <x:c r="H3" s="3"/>
      <x:c r="I3" s="1"/>
      <x:c r="J3" s="8" t="str">
        <x:v>Illustrative transaction · not seller evidence</x:v>
      </x:c>
      <x:c r="K3" s="8"/>
      <x:c r="L3" s="8"/>
      <x:c r="M3" s="8"/>
      <x:c r="N3" s="8"/>
    </x:row>
    <x:row r="4">
      <x:c r="A4" s="1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2" customHeight="1">
      <x:c r="A6" s="1"/>
      <x:c r="B6" s="11" t="str">
        <x:v>Illustrative figures only. Reviewer conclusions and source files must be obtained for an actual transaction.</x:v>
      </x:c>
      <x:c r="C6" s="11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>
      <x:c r="A8" s="1"/>
      <x:c r="B8" s="6" t="str">
        <x:v>LATEST NET WORKING CAPITAL</x:v>
      </x:c>
      <x:c r="C8" s="6"/>
      <x:c r="D8" s="6"/>
      <x:c r="E8" s="6"/>
      <x:c r="F8" s="6" t="str">
        <x:v>ILLUSTRATIVE TARGET</x:v>
      </x:c>
      <x:c r="G8" s="6"/>
      <x:c r="H8" s="6"/>
      <x:c r="I8" s="6"/>
      <x:c r="J8" s="6" t="str">
        <x:v>EXCESS / (SHORTFALL)</x:v>
      </x:c>
      <x:c r="K8" s="6"/>
      <x:c r="L8" s="6"/>
      <x:c r="M8" s="6"/>
      <x:c r="N8" s="1"/>
    </x:row>
    <x:row r="9">
      <x:c r="A9" s="1"/>
      <x:c r="B9" s="16" t="n">
        <x:f>Workspace!F13</x:f>
        <x:v>85000</x:v>
      </x:c>
      <x:c r="C9" s="16"/>
      <x:c r="D9" s="16"/>
      <x:c r="E9" s="16"/>
      <x:c r="F9" s="16" t="n">
        <x:f>Workspace!C14</x:f>
        <x:v>76666.66666666667</x:v>
      </x:c>
      <x:c r="G9" s="16"/>
      <x:c r="H9" s="16"/>
      <x:c r="I9" s="16"/>
      <x:c r="J9" s="16" t="n">
        <x:f>B9-F9</x:f>
        <x:v>8333.333333333328</x:v>
      </x:c>
      <x:c r="K9" s="16"/>
      <x:c r="L9" s="16"/>
      <x:c r="M9" s="16"/>
      <x:c r="N9" s="1"/>
    </x:row>
    <x:row r="10">
      <x:c r="A10" s="1"/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"/>
    </x:row>
    <x:row r="11">
      <x:c r="A11" s="1"/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8" t="str">
        <x:v>Debt and asset totals</x:v>
      </x:c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"/>
    </x:row>
    <x:row r="15" ht="30" customHeight="1">
      <x:c r="A15" s="1"/>
      <x:c r="B15" s="29" t="str">
        <x:v>Metric</x:v>
      </x:c>
      <x:c r="C15" s="30" t="str">
        <x:v>Amount</x:v>
      </x:c>
      <x:c r="D15" s="30" t="str">
        <x:v>Status</x:v>
      </x:c>
      <x:c r="E15" s="31" t="str">
        <x:v>Evidence</x:v>
      </x:c>
      <x:c r="F15" s="1"/>
      <x:c r="G15" s="1"/>
      <x:c r="H15" s="1"/>
      <x:c r="I15" s="1"/>
      <x:c r="J15" s="1"/>
      <x:c r="K15" s="1"/>
      <x:c r="L15" s="1"/>
      <x:c r="M15" s="1"/>
      <x:c r="N15" s="1"/>
    </x:row>
    <x:row r="16">
      <x:c r="A16" s="1"/>
      <x:c r="B16" s="36" t="str">
        <x:v>Debt / lien payout required</x:v>
      </x:c>
      <x:c r="C16" s="40" t="n">
        <x:f>SUM(Workspace!D20:D26)</x:f>
        <x:v>107000</x:v>
      </x:c>
      <x:c r="D16" s="36" t="str">
        <x:v>Open</x:v>
      </x:c>
      <x:c r="E16" s="36" t="str">
        <x:v>Current payout letters</x:v>
      </x:c>
      <x:c r="F16" s="1"/>
      <x:c r="G16" s="1"/>
      <x:c r="H16" s="1"/>
      <x:c r="I16" s="1"/>
      <x:c r="J16" s="1"/>
      <x:c r="K16" s="1"/>
      <x:c r="L16" s="1"/>
      <x:c r="M16" s="1"/>
      <x:c r="N16" s="1"/>
    </x:row>
    <x:row r="17">
      <x:c r="A17" s="1"/>
      <x:c r="B17" s="36" t="str">
        <x:v>Included asset book value</x:v>
      </x:c>
      <x:c r="C17" s="40" t="n">
        <x:f>SUM(Workspace!E32:E41)</x:f>
        <x:v>90000</x:v>
      </x:c>
      <x:c r="D17" s="36" t="str">
        <x:v>Review</x:v>
      </x:c>
      <x:c r="E17" s="36" t="str">
        <x:v>Asset register and inspection</x:v>
      </x:c>
      <x:c r="F17" s="1"/>
      <x:c r="G17" s="1"/>
      <x:c r="H17" s="1"/>
      <x:c r="I17" s="1"/>
      <x:c r="J17" s="1"/>
      <x:c r="K17" s="1"/>
      <x:c r="L17" s="1"/>
      <x:c r="M17" s="1"/>
      <x:c r="N17" s="1"/>
    </x:row>
    <x:row r="18">
      <x:c r="A18" s="1"/>
      <x:c r="B18" s="37" t="str">
        <x:v>Opening cash reserve</x:v>
      </x:c>
      <x:c r="C18" s="41" t="n">
        <x:v>70000</x:v>
      </x:c>
      <x:c r="D18" s="37" t="str">
        <x:v>Input</x:v>
      </x:c>
      <x:c r="E18" s="37" t="str">
        <x:v>Buyer funding plan</x:v>
      </x:c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</x:sheetData>
  <x:mergeCells>
    <x:mergeCell ref="B2:H2"/>
    <x:mergeCell ref="B3:H3"/>
    <x:mergeCell ref="J2:N2"/>
    <x:mergeCell ref="J3:N3"/>
    <x:mergeCell ref="B6:N6"/>
    <x:mergeCell ref="B8:E8"/>
    <x:mergeCell ref="F8:I8"/>
    <x:mergeCell ref="J8:M8"/>
    <x:mergeCell ref="B14:M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.5" hidden="0" customWidth="1"/>
    <x:col min="2" max="2" width="15" hidden="0" customWidth="1"/>
    <x:col min="3" max="3" width="28" hidden="0" customWidth="1"/>
    <x:col min="4" max="4" width="16" hidden="0" customWidth="1"/>
    <x:col min="5" max="5" width="18" hidden="0" customWidth="1"/>
    <x:col min="6" max="6" width="22" hidden="0" customWidth="1"/>
    <x:col min="7" max="7" width="14" hidden="0" customWidth="1"/>
    <x:col min="8" max="8" width="32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1"/>
      <x:c r="B2" s="2" t="str">
        <x:v>Working capital, debt and assets</x:v>
      </x:c>
      <x:c r="C2" s="2"/>
      <x:c r="D2" s="2"/>
      <x:c r="E2" s="2"/>
      <x:c r="F2" s="2"/>
      <x:c r="G2" s="2"/>
      <x:c r="H2" s="2"/>
      <x:c r="I2" s="1"/>
      <x:c r="J2" s="1"/>
      <x:c r="K2" s="1"/>
      <x:c r="L2" s="1"/>
      <x:c r="M2" s="1"/>
      <x:c r="N2" s="1"/>
    </x:row>
    <x:row r="3">
      <x:c r="A3" s="1"/>
      <x:c r="B3" s="3" t="str">
        <x:v>Illustrative working file · CAD</x:v>
      </x:c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</x:row>
    <x:row r="4">
      <x:c r="A4" s="1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 ht="23" customHeight="1">
      <x:c r="A5" s="1"/>
      <x:c r="B5" s="18" t="str">
        <x:v>Working capital history</x:v>
      </x:c>
      <x:c r="C5" s="18"/>
      <x:c r="D5" s="18"/>
      <x:c r="E5" s="18"/>
      <x:c r="F5" s="18"/>
      <x:c r="G5" s="1"/>
      <x:c r="H5" s="1"/>
      <x:c r="I5" s="1"/>
      <x:c r="J5" s="1"/>
      <x:c r="K5" s="1"/>
      <x:c r="L5" s="1"/>
      <x:c r="M5" s="1"/>
      <x:c r="N5" s="1"/>
    </x:row>
    <x:row r="6" ht="30" customHeight="1">
      <x:c r="A6" s="1"/>
      <x:c r="B6" s="29" t="str">
        <x:v>Account</x:v>
      </x:c>
      <x:c r="C6" s="30" t="str">
        <x:v>FY 2023</x:v>
      </x:c>
      <x:c r="D6" s="30" t="str">
        <x:v>FY 2024</x:v>
      </x:c>
      <x:c r="E6" s="30" t="str">
        <x:v>FY 2025</x:v>
      </x:c>
      <x:c r="F6" s="31" t="str">
        <x:v>Latest</x:v>
      </x:c>
      <x:c r="G6" s="1"/>
      <x:c r="H6" s="1"/>
      <x:c r="I6" s="1"/>
      <x:c r="J6" s="1"/>
      <x:c r="K6" s="1"/>
      <x:c r="L6" s="1"/>
      <x:c r="M6" s="1"/>
      <x:c r="N6" s="1"/>
    </x:row>
    <x:row r="7">
      <x:c r="A7" s="1"/>
      <x:c r="B7" s="36" t="str">
        <x:v>Accounts receivable</x:v>
      </x:c>
      <x:c r="C7" s="44" t="n">
        <x:v>155000</x:v>
      </x:c>
      <x:c r="D7" s="44" t="n">
        <x:v>167000</x:v>
      </x:c>
      <x:c r="E7" s="44" t="n">
        <x:v>181000</x:v>
      </x:c>
      <x:c r="F7" s="44" t="n">
        <x:v>190000</x:v>
      </x:c>
      <x:c r="G7" s="1"/>
      <x:c r="H7" s="1"/>
      <x:c r="I7" s="1"/>
      <x:c r="J7" s="1"/>
      <x:c r="K7" s="1"/>
      <x:c r="L7" s="1"/>
      <x:c r="M7" s="1"/>
      <x:c r="N7" s="1"/>
    </x:row>
    <x:row r="8">
      <x:c r="A8" s="1"/>
      <x:c r="B8" s="36" t="str">
        <x:v>Inventory</x:v>
      </x:c>
      <x:c r="C8" s="44" t="n">
        <x:v>33000</x:v>
      </x:c>
      <x:c r="D8" s="44" t="n">
        <x:v>37000</x:v>
      </x:c>
      <x:c r="E8" s="44" t="n">
        <x:v>42000</x:v>
      </x:c>
      <x:c r="F8" s="44" t="n">
        <x:v>40000</x:v>
      </x:c>
      <x:c r="G8" s="1"/>
      <x:c r="H8" s="1"/>
      <x:c r="I8" s="1"/>
      <x:c r="J8" s="1"/>
      <x:c r="K8" s="1"/>
      <x:c r="L8" s="1"/>
      <x:c r="M8" s="1"/>
      <x:c r="N8" s="1"/>
    </x:row>
    <x:row r="9">
      <x:c r="A9" s="1"/>
      <x:c r="B9" s="36" t="str">
        <x:v>Prepaids</x:v>
      </x:c>
      <x:c r="C9" s="44" t="n">
        <x:v>9000</x:v>
      </x:c>
      <x:c r="D9" s="44" t="n">
        <x:v>11000</x:v>
      </x:c>
      <x:c r="E9" s="44" t="n">
        <x:v>12000</x:v>
      </x:c>
      <x:c r="F9" s="44" t="n">
        <x:v>13000</x:v>
      </x:c>
      <x:c r="G9" s="1"/>
      <x:c r="H9" s="1"/>
      <x:c r="I9" s="1"/>
      <x:c r="J9" s="1"/>
      <x:c r="K9" s="1"/>
      <x:c r="L9" s="1"/>
      <x:c r="M9" s="1"/>
      <x:c r="N9" s="1"/>
    </x:row>
    <x:row r="10">
      <x:c r="A10" s="1"/>
      <x:c r="B10" s="36" t="str">
        <x:v>Accounts payable</x:v>
      </x:c>
      <x:c r="C10" s="44" t="n">
        <x:v>-89000</x:v>
      </x:c>
      <x:c r="D10" s="44" t="n">
        <x:v>-94000</x:v>
      </x:c>
      <x:c r="E10" s="44" t="n">
        <x:v>-102000</x:v>
      </x:c>
      <x:c r="F10" s="44" t="n">
        <x:v>-108000</x:v>
      </x:c>
      <x:c r="G10" s="1"/>
      <x:c r="H10" s="1"/>
      <x:c r="I10" s="1"/>
      <x:c r="J10" s="1"/>
      <x:c r="K10" s="1"/>
      <x:c r="L10" s="1"/>
      <x:c r="M10" s="1"/>
      <x:c r="N10" s="1"/>
    </x:row>
    <x:row r="11">
      <x:c r="A11" s="1"/>
      <x:c r="B11" s="36" t="str">
        <x:v>Accrued liabilities</x:v>
      </x:c>
      <x:c r="C11" s="44" t="n">
        <x:v>-31000</x:v>
      </x:c>
      <x:c r="D11" s="44" t="n">
        <x:v>-34000</x:v>
      </x:c>
      <x:c r="E11" s="44" t="n">
        <x:v>-37000</x:v>
      </x:c>
      <x:c r="F11" s="44" t="n">
        <x:v>-39000</x:v>
      </x:c>
      <x:c r="G11" s="1"/>
      <x:c r="H11" s="1"/>
      <x:c r="I11" s="1"/>
      <x:c r="J11" s="1"/>
      <x:c r="K11" s="1"/>
      <x:c r="L11" s="1"/>
      <x:c r="M11" s="1"/>
      <x:c r="N11" s="1"/>
    </x:row>
    <x:row r="12">
      <x:c r="A12" s="1"/>
      <x:c r="B12" s="36" t="str">
        <x:v>Deferred revenue</x:v>
      </x:c>
      <x:c r="C12" s="44" t="n">
        <x:v>-8000</x:v>
      </x:c>
      <x:c r="D12" s="44" t="n">
        <x:v>-10000</x:v>
      </x:c>
      <x:c r="E12" s="44" t="n">
        <x:v>-12000</x:v>
      </x:c>
      <x:c r="F12" s="44" t="n">
        <x:v>-11000</x:v>
      </x:c>
      <x:c r="G12" s="1"/>
      <x:c r="H12" s="1"/>
      <x:c r="I12" s="1"/>
      <x:c r="J12" s="1"/>
      <x:c r="K12" s="1"/>
      <x:c r="L12" s="1"/>
      <x:c r="M12" s="1"/>
      <x:c r="N12" s="1"/>
    </x:row>
    <x:row r="13">
      <x:c r="A13" s="1"/>
      <x:c r="B13" s="36" t="str">
        <x:v>Net working capital</x:v>
      </x:c>
      <x:c r="C13" s="40" t="n">
        <x:f>SUM(C7:C12)</x:f>
        <x:v>69000</x:v>
      </x:c>
      <x:c r="D13" s="40" t="n">
        <x:f>SUM(D7:D12)</x:f>
        <x:v>77000</x:v>
      </x:c>
      <x:c r="E13" s="40" t="n">
        <x:f>SUM(E7:E12)</x:f>
        <x:v>84000</x:v>
      </x:c>
      <x:c r="F13" s="40" t="n">
        <x:f>SUM(F7:F12)</x:f>
        <x:v>85000</x:v>
      </x:c>
      <x:c r="G13" s="1"/>
      <x:c r="H13" s="1"/>
      <x:c r="I13" s="1"/>
      <x:c r="J13" s="1"/>
      <x:c r="K13" s="1"/>
      <x:c r="L13" s="1"/>
      <x:c r="M13" s="1"/>
      <x:c r="N13" s="1"/>
    </x:row>
    <x:row r="14">
      <x:c r="A14" s="1"/>
      <x:c r="B14" s="37" t="str">
        <x:v>Normalized period average</x:v>
      </x:c>
      <x:c r="C14" s="45" t="n">
        <x:f>AVERAGE(C13:E13)</x:f>
        <x:v>76666.66666666667</x:v>
      </x:c>
      <x:c r="D14" s="45"/>
      <x:c r="E14" s="45"/>
      <x:c r="F14" s="45"/>
      <x:c r="G14" s="1"/>
      <x:c r="H14" s="1"/>
      <x:c r="I14" s="1"/>
      <x:c r="J14" s="1"/>
      <x:c r="K14" s="1"/>
      <x:c r="L14" s="1"/>
      <x:c r="M14" s="1"/>
      <x:c r="N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/>
      <x:c r="B18" s="18" t="str">
        <x:v>Debt and liens</x:v>
      </x:c>
      <x:c r="C18" s="18"/>
      <x:c r="D18" s="18"/>
      <x:c r="E18" s="18"/>
      <x:c r="F18" s="18"/>
      <x:c r="G18" s="1"/>
      <x:c r="H18" s="1"/>
      <x:c r="I18" s="1"/>
      <x:c r="J18" s="1"/>
      <x:c r="K18" s="1"/>
      <x:c r="L18" s="1"/>
      <x:c r="M18" s="1"/>
      <x:c r="N18" s="1"/>
    </x:row>
    <x:row r="19" ht="30" customHeight="1">
      <x:c r="A19" s="1"/>
      <x:c r="B19" s="29" t="str">
        <x:v>Lender / lienholder</x:v>
      </x:c>
      <x:c r="C19" s="30" t="str">
        <x:v>Facility or asset</x:v>
      </x:c>
      <x:c r="D19" s="30" t="str">
        <x:v>Current balance</x:v>
      </x:c>
      <x:c r="E19" s="30" t="str">
        <x:v>Payout required</x:v>
      </x:c>
      <x:c r="F19" s="31" t="str">
        <x:v>Release evidence</x:v>
      </x:c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43" t="str">
        <x:v>Coastal Bank</x:v>
      </x:c>
      <x:c r="C20" s="43" t="str">
        <x:v>Equipment loan</x:v>
      </x:c>
      <x:c r="D20" s="44" t="n">
        <x:v>85000</x:v>
      </x:c>
      <x:c r="E20" s="44" t="n">
        <x:v>85000</x:v>
      </x:c>
      <x:c r="F20" s="43" t="str">
        <x:v>Payout letter pending</x:v>
      </x:c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43" t="str">
        <x:v>Vehicle Finance Co.</x:v>
      </x:c>
      <x:c r="C21" s="43" t="str">
        <x:v>Vehicle lien</x:v>
      </x:c>
      <x:c r="D21" s="44" t="n">
        <x:v>22000</x:v>
      </x:c>
      <x:c r="E21" s="44" t="n">
        <x:v>22000</x:v>
      </x:c>
      <x:c r="F21" s="43" t="str">
        <x:v>Current statement only</x:v>
      </x:c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43" t="str"/>
      <x:c r="C22" s="43" t="str"/>
      <x:c r="D22" s="44"/>
      <x:c r="E22" s="44"/>
      <x:c r="F22" s="43" t="str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43" t="str"/>
      <x:c r="C23" s="43" t="str"/>
      <x:c r="D23" s="44"/>
      <x:c r="E23" s="44"/>
      <x:c r="F23" s="43" t="str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43" t="str"/>
      <x:c r="C24" s="43" t="str"/>
      <x:c r="D24" s="44"/>
      <x:c r="E24" s="44"/>
      <x:c r="F24" s="43" t="str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43" t="str"/>
      <x:c r="C25" s="43" t="str"/>
      <x:c r="D25" s="44"/>
      <x:c r="E25" s="44"/>
      <x:c r="F25" s="43" t="str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39" t="str"/>
      <x:c r="C26" s="39" t="str"/>
      <x:c r="D26" s="41"/>
      <x:c r="E26" s="41"/>
      <x:c r="F26" s="39" t="str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8" t="str">
        <x:v>Included asset register</x:v>
      </x:c>
      <x:c r="C30" s="18"/>
      <x:c r="D30" s="18"/>
      <x:c r="E30" s="18"/>
      <x:c r="F30" s="18"/>
      <x:c r="G30" s="18"/>
      <x:c r="H30" s="1"/>
      <x:c r="I30" s="1"/>
      <x:c r="J30" s="1"/>
      <x:c r="K30" s="1"/>
      <x:c r="L30" s="1"/>
      <x:c r="M30" s="1"/>
      <x:c r="N30" s="1"/>
    </x:row>
    <x:row r="31" ht="30" customHeight="1">
      <x:c r="A31" s="1"/>
      <x:c r="B31" s="29" t="str">
        <x:v>Asset ID</x:v>
      </x:c>
      <x:c r="C31" s="30" t="str">
        <x:v>Description</x:v>
      </x:c>
      <x:c r="D31" s="30" t="str">
        <x:v>Condition</x:v>
      </x:c>
      <x:c r="E31" s="30" t="str">
        <x:v>Book value</x:v>
      </x:c>
      <x:c r="F31" s="30" t="str">
        <x:v>Estimated market value</x:v>
      </x:c>
      <x:c r="G31" s="30" t="str">
        <x:v>Included</x:v>
      </x:c>
      <x:c r="H31" s="31" t="str">
        <x:v>Inspection / title evidence</x:v>
      </x:c>
      <x:c r="I31" s="1"/>
      <x:c r="J31" s="1"/>
      <x:c r="K31" s="1"/>
      <x:c r="L31" s="1"/>
      <x:c r="M31" s="1"/>
      <x:c r="N31" s="1"/>
    </x:row>
    <x:row r="32">
      <x:c r="A32" s="1"/>
      <x:c r="B32" s="43" t="str">
        <x:v>A-001</x:v>
      </x:c>
      <x:c r="C32" s="43" t="str">
        <x:v>Service van 2022</x:v>
      </x:c>
      <x:c r="D32" s="43" t="str">
        <x:v>Good</x:v>
      </x:c>
      <x:c r="E32" s="44" t="n">
        <x:v>42000</x:v>
      </x:c>
      <x:c r="F32" s="44" t="n">
        <x:v>48000</x:v>
      </x:c>
      <x:c r="G32" s="43" t="str">
        <x:v>Yes</x:v>
      </x:c>
      <x:c r="H32" s="43" t="str">
        <x:v>Inspection booked</x:v>
      </x:c>
      <x:c r="I32" s="1"/>
      <x:c r="J32" s="1"/>
      <x:c r="K32" s="1"/>
      <x:c r="L32" s="1"/>
      <x:c r="M32" s="1"/>
      <x:c r="N32" s="1"/>
    </x:row>
    <x:row r="33">
      <x:c r="A33" s="1"/>
      <x:c r="B33" s="43" t="str">
        <x:v>A-002</x:v>
      </x:c>
      <x:c r="C33" s="43" t="str">
        <x:v>Diagnostic equipment</x:v>
      </x:c>
      <x:c r="D33" s="43" t="str">
        <x:v>Fair</x:v>
      </x:c>
      <x:c r="E33" s="44" t="n">
        <x:v>18000</x:v>
      </x:c>
      <x:c r="F33" s="44" t="n">
        <x:v>20000</x:v>
      </x:c>
      <x:c r="G33" s="43" t="str">
        <x:v>Yes</x:v>
      </x:c>
      <x:c r="H33" s="43" t="str">
        <x:v>Serials reconciled</x:v>
      </x:c>
      <x:c r="I33" s="1"/>
      <x:c r="J33" s="1"/>
      <x:c r="K33" s="1"/>
      <x:c r="L33" s="1"/>
      <x:c r="M33" s="1"/>
      <x:c r="N33" s="1"/>
    </x:row>
    <x:row r="34">
      <x:c r="A34" s="1"/>
      <x:c r="B34" s="43" t="str">
        <x:v>A-003</x:v>
      </x:c>
      <x:c r="C34" s="43" t="str">
        <x:v>Seller personal vehicle</x:v>
      </x:c>
      <x:c r="D34" s="43" t="str">
        <x:v>Good</x:v>
      </x:c>
      <x:c r="E34" s="44" t="n">
        <x:v>30000</x:v>
      </x:c>
      <x:c r="F34" s="44" t="n">
        <x:v>33000</x:v>
      </x:c>
      <x:c r="G34" s="43" t="str">
        <x:v>No</x:v>
      </x:c>
      <x:c r="H34" s="43" t="str">
        <x:v>Excluded schedule</x:v>
      </x:c>
      <x:c r="I34" s="1"/>
      <x:c r="J34" s="1"/>
      <x:c r="K34" s="1"/>
      <x:c r="L34" s="1"/>
      <x:c r="M34" s="1"/>
      <x:c r="N34" s="1"/>
    </x:row>
    <x:row r="35">
      <x:c r="A35" s="1"/>
      <x:c r="B35" s="43" t="str"/>
      <x:c r="C35" s="43" t="str"/>
      <x:c r="D35" s="43" t="str"/>
      <x:c r="E35" s="44"/>
      <x:c r="F35" s="44"/>
      <x:c r="G35" s="43" t="str"/>
      <x:c r="H35" s="43" t="str"/>
      <x:c r="I35" s="1"/>
      <x:c r="J35" s="1"/>
      <x:c r="K35" s="1"/>
      <x:c r="L35" s="1"/>
      <x:c r="M35" s="1"/>
      <x:c r="N35" s="1"/>
    </x:row>
    <x:row r="36">
      <x:c r="A36" s="1"/>
      <x:c r="B36" s="43" t="str"/>
      <x:c r="C36" s="43" t="str"/>
      <x:c r="D36" s="43" t="str"/>
      <x:c r="E36" s="44"/>
      <x:c r="F36" s="44"/>
      <x:c r="G36" s="43" t="str"/>
      <x:c r="H36" s="43" t="str"/>
      <x:c r="I36" s="1"/>
      <x:c r="J36" s="1"/>
      <x:c r="K36" s="1"/>
      <x:c r="L36" s="1"/>
      <x:c r="M36" s="1"/>
      <x:c r="N36" s="1"/>
    </x:row>
    <x:row r="37">
      <x:c r="A37" s="1"/>
      <x:c r="B37" s="43" t="str"/>
      <x:c r="C37" s="43" t="str"/>
      <x:c r="D37" s="43" t="str"/>
      <x:c r="E37" s="44"/>
      <x:c r="F37" s="44"/>
      <x:c r="G37" s="43" t="str"/>
      <x:c r="H37" s="43" t="str"/>
      <x:c r="I37" s="1"/>
      <x:c r="J37" s="1"/>
      <x:c r="K37" s="1"/>
      <x:c r="L37" s="1"/>
      <x:c r="M37" s="1"/>
      <x:c r="N37" s="1"/>
    </x:row>
    <x:row r="38">
      <x:c r="A38" s="1"/>
      <x:c r="B38" s="43" t="str"/>
      <x:c r="C38" s="43" t="str"/>
      <x:c r="D38" s="43" t="str"/>
      <x:c r="E38" s="44"/>
      <x:c r="F38" s="44"/>
      <x:c r="G38" s="43" t="str"/>
      <x:c r="H38" s="43" t="str"/>
      <x:c r="I38" s="1"/>
      <x:c r="J38" s="1"/>
      <x:c r="K38" s="1"/>
      <x:c r="L38" s="1"/>
      <x:c r="M38" s="1"/>
      <x:c r="N38" s="1"/>
    </x:row>
    <x:row r="39">
      <x:c r="A39" s="1"/>
      <x:c r="B39" s="43" t="str"/>
      <x:c r="C39" s="43" t="str"/>
      <x:c r="D39" s="43" t="str"/>
      <x:c r="E39" s="44"/>
      <x:c r="F39" s="44"/>
      <x:c r="G39" s="43" t="str"/>
      <x:c r="H39" s="43" t="str"/>
      <x:c r="I39" s="1"/>
      <x:c r="J39" s="1"/>
      <x:c r="K39" s="1"/>
      <x:c r="L39" s="1"/>
      <x:c r="M39" s="1"/>
      <x:c r="N39" s="1"/>
    </x:row>
    <x:row r="40">
      <x:c r="A40" s="1"/>
      <x:c r="B40" s="43" t="str"/>
      <x:c r="C40" s="43" t="str"/>
      <x:c r="D40" s="43" t="str"/>
      <x:c r="E40" s="44"/>
      <x:c r="F40" s="44"/>
      <x:c r="G40" s="43" t="str"/>
      <x:c r="H40" s="43" t="str"/>
      <x:c r="I40" s="1"/>
      <x:c r="J40" s="1"/>
      <x:c r="K40" s="1"/>
      <x:c r="L40" s="1"/>
      <x:c r="M40" s="1"/>
      <x:c r="N40" s="1"/>
    </x:row>
    <x:row r="41">
      <x:c r="A41" s="1"/>
      <x:c r="B41" s="39" t="str"/>
      <x:c r="C41" s="39" t="str"/>
      <x:c r="D41" s="39" t="str"/>
      <x:c r="E41" s="41"/>
      <x:c r="F41" s="41"/>
      <x:c r="G41" s="39" t="str"/>
      <x:c r="H41" s="39" t="str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</x:sheetData>
  <x:mergeCells>
    <x:mergeCell ref="B2:H2"/>
    <x:mergeCell ref="B3:H3"/>
    <x:mergeCell ref="B5:F5"/>
    <x:mergeCell ref="B18:F18"/>
    <x:mergeCell ref="B30:G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5" hidden="0" customWidth="1"/>
    <x:col min="2" max="2" width="43" hidden="0" customWidth="1"/>
    <x:col min="3" max="3" width="95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1"/>
      <x:c r="B2" s="2" t="str">
        <x:v>Working Capital, Debt and Asset Schedule — guidance</x:v>
      </x:c>
      <x:c r="C2" s="2"/>
      <x:c r="D2" s="2"/>
      <x:c r="E2" s="2"/>
      <x:c r="F2" s="2"/>
      <x:c r="G2" s="2"/>
      <x:c r="H2" s="2"/>
      <x:c r="I2" s="1"/>
      <x:c r="J2" s="1"/>
      <x:c r="K2" s="1"/>
      <x:c r="L2" s="1"/>
      <x:c r="M2" s="1"/>
      <x:c r="N2" s="1"/>
    </x:row>
    <x:row r="3">
      <x:c r="A3" s="1"/>
      <x:c r="B3" s="3" t="str">
        <x:v>Scope, use and source notes</x:v>
      </x:c>
      <x:c r="C3" s="3"/>
      <x:c r="D3" s="3"/>
      <x:c r="E3" s="3"/>
      <x:c r="F3" s="3"/>
      <x:c r="G3" s="3"/>
      <x:c r="H3" s="3"/>
      <x:c r="I3" s="1"/>
      <x:c r="J3" s="1"/>
      <x:c r="K3" s="1"/>
      <x:c r="L3" s="1"/>
      <x:c r="M3" s="1"/>
      <x:c r="N3" s="1"/>
    </x:row>
    <x:row r="4">
      <x:c r="A4" s="1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23" customHeight="1">
      <x:c r="A6" s="1"/>
      <x:c r="B6" s="18" t="str">
        <x:v>How to use this workbook</x:v>
      </x:c>
      <x:c r="C6" s="18"/>
      <x:c r="D6" s="18"/>
      <x:c r="E6" s="18"/>
      <x:c r="F6" s="18"/>
      <x:c r="G6" s="18"/>
      <x:c r="H6" s="18"/>
      <x:c r="I6" s="1"/>
      <x:c r="J6" s="1"/>
      <x:c r="K6" s="1"/>
      <x:c r="L6" s="1"/>
      <x:c r="M6" s="1"/>
      <x:c r="N6" s="1"/>
    </x:row>
    <x:row r="7" ht="30" customHeight="1">
      <x:c r="A7" s="1"/>
      <x:c r="B7" s="47" t="str">
        <x:v>1</x:v>
      </x:c>
      <x:c r="C7" s="48" t="str">
        <x:v>Replace yellow cells with facts from your transaction.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30" customHeight="1">
      <x:c r="A8" s="1"/>
      <x:c r="B8" s="47" t="str">
        <x:v>2</x:v>
      </x:c>
      <x:c r="C8" s="48" t="str">
        <x:v>Identify the source or evidence for material entries. Receiving a file does not verify its contents.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30" customHeight="1">
      <x:c r="A9" s="1"/>
      <x:c r="B9" s="47" t="str">
        <x:v>3</x:v>
      </x:c>
      <x:c r="C9" s="48" t="str">
        <x:v>Assign open items and dates. Keep adviser conclusions separate from buyer assumptions.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30" customHeight="1">
      <x:c r="A10" s="1"/>
      <x:c r="B10" s="47" t="str">
        <x:v>4</x:v>
      </x:c>
      <x:c r="C10" s="48" t="str">
        <x:v>Retain version dates and do not overwrite previously approved records.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30" customHeight="1">
      <x:c r="A11" s="1"/>
      <x:c r="B11" s="47" t="str">
        <x:v>5</x:v>
      </x:c>
      <x:c r="C11" s="48" t="str">
        <x:v>Have qualified advisers confirm legal, tax, accounting, valuation and financing matters.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3" customHeight="1">
      <x:c r="A14" s="1"/>
      <x:c r="B14" s="18" t="str">
        <x:v>Public reference sources</x:v>
      </x:c>
      <x:c r="C14" s="18"/>
      <x:c r="D14" s="18"/>
      <x:c r="E14" s="18"/>
      <x:c r="F14" s="18"/>
      <x:c r="G14" s="18"/>
      <x:c r="H14" s="18"/>
      <x:c r="I14" s="1"/>
      <x:c r="J14" s="1"/>
      <x:c r="K14" s="1"/>
      <x:c r="L14" s="1"/>
      <x:c r="M14" s="1"/>
      <x:c r="N14" s="1"/>
    </x:row>
    <x:row r="15" ht="34" customHeight="1">
      <x:c r="A15" s="1"/>
      <x:c r="B15" s="51" t="str">
        <x:v>BDC — Due diligence when buying a business</x:v>
      </x:c>
      <x:c r="C15" s="52" t="str">
        <x:v>https://www.bdc.ca/en/articles-tools/start-buy-business/buy-business/buying-business-conducting-due-diligence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34" customHeight="1">
      <x:c r="A16" s="1"/>
      <x:c r="B16" s="51" t="str">
        <x:v>BDC — Steps to buying a business</x:v>
      </x:c>
      <x:c r="C16" s="52" t="str">
        <x:v>https://www.bdc.ca/en/articles-tools/start-buy-business/buy-business/what-are-steps-buying-business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34" customHeight="1">
      <x:c r="A17" s="1"/>
      <x:c r="B17" s="51" t="str">
        <x:v>CRA — Buying a business</x:v>
      </x:c>
      <x:c r="C17" s="52" t="str">
        <x:v>https://www.canada.ca/en/revenue-agency/services/tax/businesses/topics/business-registration/maintain-business/buying-business.html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34" customHeight="1">
      <x:c r="A18" s="1"/>
      <x:c r="B18" s="51" t="str">
        <x:v>SBA — Plan your business / buy an existing business</x:v>
      </x:c>
      <x:c r="C18" s="52" t="str">
        <x:v>https://www.sba.gov/counseling/plan-your-business/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</x:sheetData>
  <x:mergeCells>
    <x:mergeCell ref="B2:H2"/>
    <x:mergeCell ref="B3:H3"/>
    <x:mergeCell ref="B6:H6"/>
    <x:mergeCell ref="B14:H14"/>
  </x:mergeCells>
  <x:pageMargins left="0.7" right="0.7" top="0.75" bottom="0.75" header="0.3" footer="0.3"/>
</x:worksheet>
</file>