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d061a969e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50dd225e9b45aa"/>
    <x:sheet xmlns:r="http://schemas.openxmlformats.org/officeDocument/2006/relationships" name="Inputs" sheetId="2" r:id="R1a068e673ca047d5"/>
    <x:sheet xmlns:r="http://schemas.openxmlformats.org/officeDocument/2006/relationships" name="Calculations" sheetId="3" r:id="Rcaa2b55a79af4107"/>
    <x:sheet xmlns:r="http://schemas.openxmlformats.org/officeDocument/2006/relationships" name="Scenarios &amp; Risk" sheetId="4" r:id="R62b3c3ee25e24ac1"/>
    <x:sheet xmlns:r="http://schemas.openxmlformats.org/officeDocument/2006/relationships" name="Checks" sheetId="5" r:id="R2c45e2ab347a41e8"/>
  </x:sheets>
</x:workbook>
</file>

<file path=xl/comments1.xml><?xml version="1.0" encoding="utf-8"?>
<x:comments xmlns:x="http://schemas.openxmlformats.org/spreadsheetml/2006/main">
  <x:authors>
    <x:author>tc={E2C207D8-769B-EE95-BE44-8681E8BB82A5}</x:author>
    <x:author>tc={095833D3-EFC2-774D-B261-65A7E68121DC}</x:author>
    <x:author>tc={A9B18948-C576-3EF2-82D5-DE60CFF74019}</x:author>
    <x:author>tc={3C48C54A-C108-DDDD-6CC4-EAA67C54562A}</x:author>
    <x:author>tc={150C014B-6317-7C83-AA50-757A9B296D41}</x:author>
    <x:author>tc={88C6CE04-6E46-FB39-B161-171951621B46}</x:author>
    <x:author>tc={AD14515A-E3AC-F6AD-BA5D-90BE58F6014F}</x:author>
    <x:author>tc={47189133-3181-5C0F-DFB6-B7B91F50F473}</x:author>
    <x:author>tc={3280892C-AA73-9CB3-E37E-0B99119D4287}</x:author>
    <x:author>tc={18122703-AC48-618E-83C6-707F1DFE5ABA}</x:author>
    <x:author>tc={E25BFE76-1DCF-09A6-AA12-3620C50CB31C}</x:author>
    <x:author>tc={993039A4-341A-57A9-88E8-1A33E0E7B275}</x:author>
    <x:author>tc={5A39A262-B157-3F30-B030-AB5652928530}</x:author>
    <x:author>tc={1D465ACB-ACC2-DCC3-6696-68C73B1D553C}</x:author>
    <x:author>tc={3F458389-E307-EE1A-EF68-EE095B94B3AE}</x:author>
    <x:author>tc={91B50D89-312E-1361-CC58-EDA5EABD4ED0}</x:author>
    <x:author>tc={875FF4CF-EC0A-1ED3-FD04-248AA1BA23B2}</x:author>
    <x:author>tc={5087E06E-0454-4479-8672-B5B0505FFFAF}</x:author>
    <x:author>tc={6F70AE86-32A6-945E-2912-6037026532BF}</x:author>
    <x:author>tc={D8C3CDB5-929F-AC1E-75C7-BF2E1882DA29}</x:author>
    <x:author>tc={89C9A9D3-DAD3-1523-BB1C-675798F20531}</x:author>
    <x:author>tc={38A136C6-4C57-B2E5-59F3-6F950CD57207}</x:author>
    <x:author>tc={B83D59CB-8548-E90B-B065-79DEC8D26DB5}</x:author>
    <x:author>tc={4CCE62BE-0BB7-6173-F2FE-B8202F095B8E}</x:author>
    <x:author>tc={FC72542F-3E2C-7068-77A5-02EFAE49E188}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2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  <x:comment ref="B3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Affinity default from lib/screens/business_acquisition_page.dart and test/business_model_test.dart. Replace with documented deal data when auditing a real acquisition.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;[Red]($#,##0);-"/>
    <x:numFmt numFmtId="201" formatCode="0.0%;[Red](0.0%);-"/>
    <x:numFmt numFmtId="202" formatCode="0.0"/>
    <x:numFmt numFmtId="203" formatCode="0"/>
    <x:numFmt numFmtId="204" formatCode="0.00x;[Red](0.00x);-"/>
    <x:numFmt numFmtId="205" formatCode="0.0 &quot;years&quot;"/>
    <x:numFmt numFmtId="206" formatCode="0%"/>
    <x:numFmt numFmtId="207" formatCode="#,##0.0;[Red](#,##0.0);-"/>
    <x:numFmt numFmtId="208" formatCode="0.0 &quot;of 100&quot;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8635D"/>
      <x:name val="Carlito"/>
    </x:font>
    <x:font>
      <x:b/>
      <x:sz val="11"/>
      <x:color rgb="FF053827"/>
      <x:name val="Carlito"/>
    </x:font>
    <x:font>
      <x:sz val="11"/>
      <x:color rgb="FF0000FF"/>
      <x:name val="Carlito"/>
    </x:font>
    <x:font>
      <x:sz val="11"/>
      <x:color rgb="FF171717"/>
      <x:name val="Carlito"/>
    </x:font>
    <x:font>
      <x:b/>
      <x:sz val="11"/>
      <x:color rgb="FFFFFFFF"/>
      <x:name val="Carlito"/>
    </x:font>
    <x:font>
      <x:b/>
      <x:sz val="11"/>
      <x:color rgb="FF68635D"/>
      <x:name val="Carlito"/>
    </x:font>
    <x:font>
      <x:b/>
      <x:sz val="18"/>
      <x:color rgb="FF171717"/>
      <x:name val="Carlito"/>
    </x:font>
    <x:font>
      <x:sz val="11"/>
      <x:color rgb="FF008000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171717"/>
      <x:name val="Carlito"/>
    </x:font>
    <x:font>
      <x:b/>
      <x:sz val="18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53827"/>
      </x:patternFill>
    </x:fill>
    <x:fill>
      <x:patternFill patternType="solid">
        <x:fgColor rgb="FFF4F1EB"/>
      </x:patternFill>
    </x:fill>
    <x:fill>
      <x:patternFill patternType="solid">
        <x:fgColor rgb="FFE5EEE9"/>
      </x:patternFill>
    </x:fill>
    <x:fill>
      <x:patternFill patternType="solid">
        <x:fgColor rgb="FFFFF2CC"/>
      </x:patternFill>
    </x:fill>
  </x:fills>
  <x:borders count="14">
    <x:border/>
    <x:border>
      <x:bottom style="double">
        <x:color rgb="FF053827"/>
      </x:bottom>
    </x:border>
    <x:border>
      <x:right style="thin">
        <x:color rgb="FFD6D1C9"/>
      </x:right>
      <x:bottom style="thin">
        <x:color rgb="FFD6D1C9"/>
      </x:bottom>
    </x:border>
    <x:border>
      <x:left style="thin">
        <x:color rgb="FFD6D1C9"/>
      </x:left>
      <x:right style="thin">
        <x:color rgb="FFD6D1C9"/>
      </x:right>
      <x:bottom style="thin">
        <x:color rgb="FFD6D1C9"/>
      </x:bottom>
    </x:border>
    <x:border>
      <x:left style="thin">
        <x:color rgb="FFD6D1C9"/>
      </x:left>
      <x:bottom style="thin">
        <x:color rgb="FFD6D1C9"/>
      </x:bottom>
    </x:border>
    <x:border>
      <x:right style="thin">
        <x:color rgb="FFD6D1C9"/>
      </x:right>
      <x:top style="thin">
        <x:color rgb="FFD6D1C9"/>
      </x:top>
      <x:bottom style="thin">
        <x:color rgb="FFD6D1C9"/>
      </x:bottom>
    </x:border>
    <x:border>
      <x:left style="thin">
        <x:color rgb="FFD6D1C9"/>
      </x:left>
      <x:right style="thin">
        <x:color rgb="FFD6D1C9"/>
      </x:right>
      <x:top style="thin">
        <x:color rgb="FFD6D1C9"/>
      </x:top>
      <x:bottom style="thin">
        <x:color rgb="FFD6D1C9"/>
      </x:bottom>
    </x:border>
    <x:border>
      <x:left style="thin">
        <x:color rgb="FFD6D1C9"/>
      </x:left>
      <x:top style="thin">
        <x:color rgb="FFD6D1C9"/>
      </x:top>
      <x:bottom style="thin">
        <x:color rgb="FFD6D1C9"/>
      </x:bottom>
    </x:border>
    <x:border>
      <x:right style="thin">
        <x:color rgb="FFD6D1C9"/>
      </x:right>
      <x:top style="thin">
        <x:color rgb="FFD6D1C9"/>
      </x:top>
    </x:border>
    <x:border>
      <x:left style="thin">
        <x:color rgb="FFD6D1C9"/>
      </x:left>
      <x:right style="thin">
        <x:color rgb="FFD6D1C9"/>
      </x:right>
      <x:top style="thin">
        <x:color rgb="FFD6D1C9"/>
      </x:top>
    </x:border>
    <x:border>
      <x:left style="thin">
        <x:color rgb="FFD6D1C9"/>
      </x:left>
      <x:top style="thin">
        <x:color rgb="FFD6D1C9"/>
      </x:top>
    </x:border>
    <x:border>
      <x:left style="medium">
        <x:color rgb="FF053827"/>
      </x:left>
      <x:top style="medium">
        <x:color rgb="FF053827"/>
      </x:top>
      <x:bottom style="medium">
        <x:color rgb="FF053827"/>
      </x:bottom>
    </x:border>
    <x:border>
      <x:top style="medium">
        <x:color rgb="FF053827"/>
      </x:top>
      <x:bottom style="medium">
        <x:color rgb="FF053827"/>
      </x:bottom>
    </x:border>
    <x:border>
      <x:right style="medium">
        <x:color rgb="FF053827"/>
      </x:right>
      <x:top style="medium">
        <x:color rgb="FF053827"/>
      </x:top>
      <x:bottom style="medium">
        <x:color rgb="FF053827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0" fillId="0" borderId="2" xfId="0" applyNumberFormat="1" applyFont="1" applyFill="1" applyBorder="1"/>
    <x:xf numFmtId="200" fontId="4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4" fillId="0" borderId="6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4" fillId="0" borderId="6" xfId="0" applyNumberFormat="1" applyFont="1" applyFill="1" applyBorder="1"/>
    <x:xf numFmtId="202" fontId="4" fillId="0" borderId="6" xfId="0" applyNumberFormat="1" applyFont="1" applyFill="1" applyBorder="1"/>
    <x:xf numFmtId="203" fontId="4" fillId="0" borderId="6" xfId="0" applyNumberFormat="1" applyFont="1" applyFill="1" applyBorder="1"/>
    <x:xf numFmtId="0" fontId="0" fillId="0" borderId="8" xfId="0" applyNumberFormat="1" applyFont="1" applyFill="1" applyBorder="1"/>
    <x:xf numFmtId="203" fontId="4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0" fontId="5" fillId="0" borderId="3" xfId="0" applyNumberFormat="1" applyFont="1" applyFill="1" applyBorder="1"/>
    <x:xf numFmtId="200" fontId="5" fillId="0" borderId="6" xfId="0" applyNumberFormat="1" applyFont="1" applyFill="1" applyBorder="1"/>
    <x:xf numFmtId="201" fontId="5" fillId="0" borderId="6" xfId="0" applyNumberFormat="1" applyFont="1" applyFill="1" applyBorder="1"/>
    <x:xf numFmtId="203" fontId="5" fillId="0" borderId="6" xfId="0" applyNumberFormat="1" applyFont="1" applyFill="1" applyBorder="1"/>
    <x:xf numFmtId="204" fontId="5" fillId="0" borderId="6" xfId="0" applyNumberFormat="1" applyFont="1" applyFill="1" applyBorder="1"/>
    <x:xf numFmtId="205" fontId="5" fillId="0" borderId="6" xfId="0" applyNumberFormat="1" applyFont="1" applyFill="1" applyBorder="1"/>
    <x:xf numFmtId="201" fontId="5" fillId="0" borderId="9" xfId="0" applyNumberFormat="1" applyFont="1" applyFill="1" applyBorder="1"/>
    <x:xf numFmtId="0" fontId="0" fillId="4" borderId="5" xfId="0" applyNumberFormat="1" applyFont="1" applyFill="1" applyBorder="1"/>
    <x:xf numFmtId="200" fontId="5" fillId="4" borderId="6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3" borderId="5" xfId="0" applyNumberFormat="1" applyFont="1" applyFill="1" applyBorder="1"/>
    <x:xf numFmtId="200" fontId="5" fillId="3" borderId="6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201" fontId="5" fillId="3" borderId="6" xfId="0" applyNumberFormat="1" applyFont="1" applyFill="1" applyBorder="1"/>
    <x:xf numFmtId="203" fontId="5" fillId="3" borderId="6" xfId="0" applyNumberFormat="1" applyFont="1" applyFill="1" applyBorder="1"/>
    <x:xf numFmtId="204" fontId="5" fillId="4" borderId="6" xfId="0" applyNumberFormat="1" applyFont="1" applyFill="1" applyBorder="1"/>
    <x:xf numFmtId="205" fontId="5" fillId="4" borderId="6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/>
    <x:xf numFmtId="206" fontId="4" fillId="0" borderId="3" xfId="0" applyNumberFormat="1" applyFont="1" applyFill="1" applyBorder="1"/>
    <x:xf numFmtId="200" fontId="0" fillId="0" borderId="3" xfId="0" applyNumberFormat="1" applyFont="1" applyFill="1" applyBorder="1"/>
    <x:xf numFmtId="204" fontId="0" fillId="0" borderId="3" xfId="0" applyNumberFormat="1" applyFont="1" applyFill="1" applyBorder="1"/>
    <x:xf numFmtId="205" fontId="0" fillId="0" borderId="4" xfId="0" applyNumberFormat="1" applyFont="1" applyFill="1" applyBorder="1"/>
    <x:xf numFmtId="206" fontId="4" fillId="0" borderId="6" xfId="0" applyNumberFormat="1" applyFont="1" applyFill="1" applyBorder="1"/>
    <x:xf numFmtId="200" fontId="0" fillId="0" borderId="6" xfId="0" applyNumberFormat="1" applyFont="1" applyFill="1" applyBorder="1"/>
    <x:xf numFmtId="204" fontId="0" fillId="0" borderId="6" xfId="0" applyNumberFormat="1" applyFont="1" applyFill="1" applyBorder="1"/>
    <x:xf numFmtId="205" fontId="0" fillId="0" borderId="7" xfId="0" applyNumberFormat="1" applyFont="1" applyFill="1" applyBorder="1"/>
    <x:xf numFmtId="206" fontId="4" fillId="0" borderId="9" xfId="0" applyNumberFormat="1" applyFont="1" applyFill="1" applyBorder="1"/>
    <x:xf numFmtId="200" fontId="0" fillId="0" borderId="9" xfId="0" applyNumberFormat="1" applyFont="1" applyFill="1" applyBorder="1"/>
    <x:xf numFmtId="204" fontId="0" fillId="0" borderId="9" xfId="0" applyNumberFormat="1" applyFont="1" applyFill="1" applyBorder="1"/>
    <x:xf numFmtId="205" fontId="0" fillId="0" borderId="10" xfId="0" applyNumberFormat="1" applyFont="1" applyFill="1" applyBorder="1"/>
    <x:xf numFmtId="207" fontId="0" fillId="0" borderId="0" xfId="0" applyNumberFormat="1" applyFont="1" applyFill="1" applyBorder="1"/>
    <x:xf numFmtId="207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5" borderId="0" xfId="0" applyNumberFormat="1" applyFont="1" applyFill="1" applyBorder="1"/>
    <x:xf numFmtId="207" fontId="0" fillId="0" borderId="3" xfId="0" applyNumberFormat="1" applyFont="1" applyFill="1" applyBorder="1"/>
    <x:xf numFmtId="207" fontId="0" fillId="0" borderId="6" xfId="0" applyNumberFormat="1" applyFont="1" applyFill="1" applyBorder="1"/>
    <x:xf numFmtId="204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7" fontId="0" fillId="4" borderId="6" xfId="0" applyNumberFormat="1" applyFont="1" applyFill="1" applyBorder="1"/>
    <x:xf numFmtId="201" fontId="0" fillId="4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7" fontId="0" fillId="0" borderId="9" xfId="0" applyNumberFormat="1" applyFont="1" applyFill="1" applyBorder="1"/>
    <x:xf numFmtId="0" fontId="6" fillId="2" borderId="11" xfId="0" applyNumberFormat="1" applyFont="1" applyFill="1" applyBorder="1"/>
    <x:xf numFmtId="0" fontId="6" fillId="2" borderId="12" xfId="0" applyNumberFormat="1" applyFont="1" applyFill="1" applyBorder="1"/>
    <x:xf numFmtId="0" fontId="6" fillId="2" borderId="13" xfId="0" applyNumberFormat="1" applyFont="1" applyFill="1" applyBorder="1"/>
    <x:xf numFmtId="0" fontId="6" fillId="2" borderId="13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3" borderId="0" xfId="0" applyNumberFormat="1" applyFont="1" applyFill="1" applyBorder="1"/>
    <x:xf numFmtId="208" fontId="0" fillId="4" borderId="0" xfId="0" applyNumberFormat="1" applyFont="1" applyFill="1" applyBorder="1"/>
    <x:xf numFmtId="208" fontId="0" fillId="3" borderId="0" xfId="0" applyNumberFormat="1" applyFont="1" applyFill="1" applyBorder="1"/>
    <x:xf numFmtId="200" fontId="0" fillId="4" borderId="0" xfId="0" applyNumberFormat="1" applyFont="1" applyFill="1" applyBorder="1"/>
    <x:xf numFmtId="204" fontId="0" fillId="3" borderId="0" xfId="0" applyNumberFormat="1" applyFont="1" applyFill="1" applyBorder="1"/>
    <x:xf numFmtId="208" fontId="8" fillId="4" borderId="0" xfId="0" applyNumberFormat="1" applyFont="1" applyFill="1" applyBorder="1"/>
    <x:xf numFmtId="0" fontId="8" fillId="4" borderId="0" xfId="0" applyNumberFormat="1" applyFont="1" applyFill="1" applyBorder="1"/>
    <x:xf numFmtId="208" fontId="8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4" borderId="0" xfId="0" applyNumberFormat="1" applyFont="1" applyFill="1" applyBorder="1"/>
    <x:xf numFmtId="204" fontId="8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208" fontId="13" fillId="4" borderId="0" xfId="0" applyNumberFormat="1" applyFont="1" applyFill="1" applyBorder="1"/>
    <x:xf numFmtId="208" fontId="13" fillId="3" borderId="0" xfId="0" applyNumberFormat="1" applyFont="1" applyFill="1" applyBorder="1"/>
    <x:xf numFmtId="200" fontId="13" fillId="4" borderId="0" xfId="0" applyNumberFormat="1" applyFont="1" applyFill="1" applyBorder="1"/>
    <x:xf numFmtId="204" fontId="13" fillId="3" borderId="0" xfId="0" applyNumberFormat="1" applyFont="1" applyFill="1" applyBorder="1"/>
    <x:xf numFmtId="200" fontId="9" fillId="0" borderId="3" xfId="0" applyNumberFormat="1" applyFont="1" applyFill="1" applyBorder="1"/>
    <x:xf numFmtId="204" fontId="9" fillId="0" borderId="3" xfId="0" applyNumberFormat="1" applyFont="1" applyFill="1" applyBorder="1"/>
    <x:xf numFmtId="205" fontId="9" fillId="0" borderId="4" xfId="0" applyNumberFormat="1" applyFont="1" applyFill="1" applyBorder="1"/>
    <x:xf numFmtId="200" fontId="9" fillId="0" borderId="6" xfId="0" applyNumberFormat="1" applyFont="1" applyFill="1" applyBorder="1"/>
    <x:xf numFmtId="204" fontId="9" fillId="0" borderId="6" xfId="0" applyNumberFormat="1" applyFont="1" applyFill="1" applyBorder="1"/>
    <x:xf numFmtId="205" fontId="9" fillId="0" borderId="7" xfId="0" applyNumberFormat="1" applyFont="1" applyFill="1" applyBorder="1"/>
    <x:xf numFmtId="200" fontId="9" fillId="0" borderId="9" xfId="0" applyNumberFormat="1" applyFont="1" applyFill="1" applyBorder="1"/>
    <x:xf numFmtId="204" fontId="9" fillId="0" borderId="9" xfId="0" applyNumberFormat="1" applyFont="1" applyFill="1" applyBorder="1"/>
    <x:xf numFmtId="205" fontId="9" fillId="0" borderId="10" xfId="0" applyNumberFormat="1" applyFont="1" applyFill="1" applyBorder="1"/>
    <x:xf numFmtId="204" fontId="9" fillId="0" borderId="7" xfId="0" applyNumberFormat="1" applyFont="1" applyFill="1" applyBorder="1"/>
    <x:xf numFmtId="200" fontId="9" fillId="0" borderId="7" xfId="0" applyNumberFormat="1" applyFont="1" applyFill="1" applyBorder="1"/>
    <x:xf numFmtId="201" fontId="9" fillId="0" borderId="7" xfId="0" applyNumberFormat="1" applyFont="1" applyFill="1" applyBorder="1"/>
    <x:xf numFmtId="0" fontId="9" fillId="4" borderId="7" xfId="0" applyNumberFormat="1" applyFont="1" applyFill="1" applyBorder="1"/>
    <x:xf numFmtId="201" fontId="9" fillId="4" borderId="7" xfId="0" applyNumberFormat="1" applyFont="1" applyFill="1" applyBorder="1"/>
    <x:xf numFmtId="207" fontId="9" fillId="0" borderId="3" xfId="0" applyNumberFormat="1" applyFont="1" applyFill="1" applyBorder="1"/>
    <x:xf numFmtId="207" fontId="9" fillId="0" borderId="6" xfId="0" applyNumberFormat="1" applyFont="1" applyFill="1" applyBorder="1"/>
    <x:xf numFmtId="207" fontId="9" fillId="0" borderId="9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8" fontId="13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8" fontId="13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13" fillId="4" borderId="0" xfId="0" applyNumberFormat="1" applyFont="1" applyFill="1" applyBorder="1" applyAlignment="1">
      <x:alignment vertical="center"/>
    </x:xf>
    <x:xf numFmtId="204" fontId="13" fillId="3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 wrapText="1"/>
    </x:xf>
    <x:xf numFmtId="201" fontId="5" fillId="3" borderId="6" xfId="0" applyNumberFormat="1" applyFont="1" applyFill="1" applyBorder="1" applyAlignment="1">
      <x:alignment vertical="center"/>
    </x:xf>
    <x:xf numFmtId="203" fontId="5" fillId="3" borderId="6" xfId="0" applyNumberFormat="1" applyFont="1" applyFill="1" applyBorder="1" applyAlignment="1">
      <x:alignment vertical="center"/>
    </x:xf>
    <x:xf numFmtId="204" fontId="5" fillId="4" borderId="6" xfId="0" applyNumberFormat="1" applyFont="1" applyFill="1" applyBorder="1" applyAlignment="1">
      <x:alignment vertical="center"/>
    </x:xf>
    <x:xf numFmtId="205" fontId="5" fillId="4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0" fontId="9" fillId="0" borderId="3" xfId="0" applyNumberFormat="1" applyFont="1" applyFill="1" applyBorder="1" applyAlignment="1">
      <x:alignment vertical="center"/>
    </x:xf>
    <x:xf numFmtId="204" fontId="9" fillId="0" borderId="3" xfId="0" applyNumberFormat="1" applyFont="1" applyFill="1" applyBorder="1" applyAlignment="1">
      <x:alignment vertical="center"/>
    </x:xf>
    <x:xf numFmtId="205" fontId="9" fillId="0" borderId="4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/>
    </x:xf>
    <x:xf numFmtId="204" fontId="9" fillId="0" borderId="6" xfId="0" applyNumberFormat="1" applyFont="1" applyFill="1" applyBorder="1" applyAlignment="1">
      <x:alignment vertical="center"/>
    </x:xf>
    <x:xf numFmtId="205" fontId="9" fillId="0" borderId="7" xfId="0" applyNumberFormat="1" applyFont="1" applyFill="1" applyBorder="1" applyAlignment="1">
      <x:alignment vertical="center"/>
    </x:xf>
    <x:xf numFmtId="206" fontId="4" fillId="0" borderId="9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204" fontId="9" fillId="0" borderId="9" xfId="0" applyNumberFormat="1" applyFont="1" applyFill="1" applyBorder="1" applyAlignment="1">
      <x:alignment vertical="center"/>
    </x:xf>
    <x:xf numFmtId="205" fontId="9" fillId="0" borderId="10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7" fontId="0" fillId="0" borderId="6" xfId="0" applyNumberFormat="1" applyFont="1" applyFill="1" applyBorder="1" applyAlignment="1">
      <x:alignment vertical="center"/>
    </x:xf>
    <x:xf numFmtId="204" fontId="9" fillId="0" borderId="7" xfId="0" applyNumberFormat="1" applyFont="1" applyFill="1" applyBorder="1" applyAlignment="1">
      <x:alignment vertical="center"/>
    </x:xf>
    <x:xf numFmtId="200" fontId="9" fillId="0" borderId="7" xfId="0" applyNumberFormat="1" applyFont="1" applyFill="1" applyBorder="1" applyAlignment="1">
      <x:alignment vertical="center"/>
    </x:xf>
    <x:xf numFmtId="201" fontId="9" fillId="0" borderId="7" xfId="0" applyNumberFormat="1" applyFont="1" applyFill="1" applyBorder="1" applyAlignment="1">
      <x:alignment vertical="center"/>
    </x:xf>
    <x:xf numFmtId="207" fontId="0" fillId="4" borderId="6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 wrapText="1"/>
    </x:xf>
    <x:xf numFmtId="0" fontId="9" fillId="4" borderId="7" xfId="0" applyNumberFormat="1" applyFont="1" applyFill="1" applyBorder="1" applyAlignment="1">
      <x:alignment vertical="center"/>
    </x:xf>
    <x:xf numFmtId="201" fontId="9" fillId="4" borderId="7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/>
    </x:xf>
    <x:xf numFmtId="207" fontId="9" fillId="0" borderId="3" xfId="0" applyNumberFormat="1" applyFont="1" applyFill="1" applyBorder="1" applyAlignment="1">
      <x:alignment vertical="center"/>
    </x:xf>
    <x:xf numFmtId="207" fontId="9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7" fontId="9" fillId="0" borderId="9" xfId="0" applyNumberFormat="1" applyFont="1" applyFill="1" applyBorder="1" applyAlignment="1">
      <x:alignment vertical="center"/>
    </x:xf>
    <x:xf numFmtId="207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6" fillId="2" borderId="11" xfId="0" applyNumberFormat="1" applyFont="1" applyFill="1" applyBorder="1" applyAlignment="1">
      <x:alignment vertical="center"/>
    </x:xf>
    <x:xf numFmtId="0" fontId="6" fillId="2" borderId="12" xfId="0" applyNumberFormat="1" applyFont="1" applyFill="1" applyBorder="1" applyAlignment="1">
      <x:alignment vertical="center"/>
    </x:xf>
    <x:xf numFmtId="0" fontId="6" fillId="2" borderId="1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053827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6979023ca47bc" /><Relationship Type="http://schemas.openxmlformats.org/officeDocument/2006/relationships/theme" Target="/xl/theme/theme1.xml" Id="R0c4991c591ea41dd" /><Relationship Type="http://schemas.openxmlformats.org/officeDocument/2006/relationships/sharedStrings" Target="/xl/sharedStrings.xml" Id="R4b7631c96b4a45d5" /><Relationship Type="http://schemas.openxmlformats.org/officeDocument/2006/relationships/worksheet" Target="/xl/worksheets/sheet1.xml" Id="R6d50dd225e9b45aa" /><Relationship Type="http://schemas.openxmlformats.org/officeDocument/2006/relationships/worksheet" Target="/xl/worksheets/sheet2.xml" Id="R1a068e673ca047d5" /><Relationship Type="http://schemas.openxmlformats.org/officeDocument/2006/relationships/worksheet" Target="/xl/worksheets/sheet3.xml" Id="Rcaa2b55a79af4107" /><Relationship Type="http://schemas.openxmlformats.org/officeDocument/2006/relationships/worksheet" Target="/xl/worksheets/sheet4.xml" Id="R62b3c3ee25e24ac1" /><Relationship Type="http://schemas.openxmlformats.org/officeDocument/2006/relationships/worksheet" Target="/xl/worksheets/sheet5.xml" Id="R2c45e2ab347a41e8" /><Relationship Type="http://schemas.microsoft.com/office/2017/10/relationships/person" Target="/xl/persons/person.xml" Id="R384c4fc5a6c94398" /></Relationships>
</file>

<file path=xl/persons/person.xml><?xml version="1.0" encoding="utf-8"?>
<xltc:personList xmlns:xltc="http://schemas.microsoft.com/office/spreadsheetml/2018/threadedcomments">
  <xltc:person displayName="Will Russell" id="{1E5CB6F9-B950-4EFC-ABDA-D095517B173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22T22:25:47.368" personId="{1E5CB6F9-B950-4EFC-ABDA-D095517B1732}" id="{E2C207D8-769B-EE95-BE44-8681E8BB82A5}">
    <xltc:text>Affinity default from lib/screens/business_acquisition_page.dart and test/business_model_test.dart. Replace with documented deal data when auditing a real acquisition.</xltc:text>
  </xltc:threadedComment>
  <xltc:threadedComment ref="B7" dT="2026-08-22T22:25:47.371" personId="{1E5CB6F9-B950-4EFC-ABDA-D095517B1732}" id="{095833D3-EFC2-774D-B261-65A7E68121DC}">
    <xltc:text>Affinity default from lib/screens/business_acquisition_page.dart and test/business_model_test.dart. Replace with documented deal data when auditing a real acquisition.</xltc:text>
  </xltc:threadedComment>
  <xltc:threadedComment ref="B8" dT="2026-08-22T22:25:47.371" personId="{1E5CB6F9-B950-4EFC-ABDA-D095517B1732}" id="{A9B18948-C576-3EF2-82D5-DE60CFF74019}">
    <xltc:text>Affinity default from lib/screens/business_acquisition_page.dart and test/business_model_test.dart. Replace with documented deal data when auditing a real acquisition.</xltc:text>
  </xltc:threadedComment>
  <xltc:threadedComment ref="B9" dT="2026-08-22T22:25:47.371" personId="{1E5CB6F9-B950-4EFC-ABDA-D095517B1732}" id="{3C48C54A-C108-DDDD-6CC4-EAA67C54562A}">
    <xltc:text>Affinity default from lib/screens/business_acquisition_page.dart and test/business_model_test.dart. Replace with documented deal data when auditing a real acquisition.</xltc:text>
  </xltc:threadedComment>
  <xltc:threadedComment ref="B10" dT="2026-08-22T22:25:47.371" personId="{1E5CB6F9-B950-4EFC-ABDA-D095517B1732}" id="{150C014B-6317-7C83-AA50-757A9B296D41}">
    <xltc:text>Affinity default from lib/screens/business_acquisition_page.dart and test/business_model_test.dart. Replace with documented deal data when auditing a real acquisition.</xltc:text>
  </xltc:threadedComment>
  <xltc:threadedComment ref="B11" dT="2026-08-22T22:25:47.372" personId="{1E5CB6F9-B950-4EFC-ABDA-D095517B1732}" id="{88C6CE04-6E46-FB39-B161-171951621B46}">
    <xltc:text>Affinity default from lib/screens/business_acquisition_page.dart and test/business_model_test.dart. Replace with documented deal data when auditing a real acquisition.</xltc:text>
  </xltc:threadedComment>
  <xltc:threadedComment ref="B12" dT="2026-08-22T22:25:47.372" personId="{1E5CB6F9-B950-4EFC-ABDA-D095517B1732}" id="{AD14515A-E3AC-F6AD-BA5D-90BE58F6014F}">
    <xltc:text>Affinity default from lib/screens/business_acquisition_page.dart and test/business_model_test.dart. Replace with documented deal data when auditing a real acquisition.</xltc:text>
  </xltc:threadedComment>
  <xltc:threadedComment ref="B13" dT="2026-08-22T22:25:47.372" personId="{1E5CB6F9-B950-4EFC-ABDA-D095517B1732}" id="{47189133-3181-5C0F-DFB6-B7B91F50F473}">
    <xltc:text>Affinity default from lib/screens/business_acquisition_page.dart and test/business_model_test.dart. Replace with documented deal data when auditing a real acquisition.</xltc:text>
  </xltc:threadedComment>
  <xltc:threadedComment ref="B14" dT="2026-08-22T22:25:47.372" personId="{1E5CB6F9-B950-4EFC-ABDA-D095517B1732}" id="{3280892C-AA73-9CB3-E37E-0B99119D4287}">
    <xltc:text>Affinity default from lib/screens/business_acquisition_page.dart and test/business_model_test.dart. Replace with documented deal data when auditing a real acquisition.</xltc:text>
  </xltc:threadedComment>
  <xltc:threadedComment ref="B15" dT="2026-08-22T22:25:47.372" personId="{1E5CB6F9-B950-4EFC-ABDA-D095517B1732}" id="{18122703-AC48-618E-83C6-707F1DFE5ABA}">
    <xltc:text>Affinity default from lib/screens/business_acquisition_page.dart and test/business_model_test.dart. Replace with documented deal data when auditing a real acquisition.</xltc:text>
  </xltc:threadedComment>
  <xltc:threadedComment ref="B16" dT="2026-08-22T22:25:47.372" personId="{1E5CB6F9-B950-4EFC-ABDA-D095517B1732}" id="{E25BFE76-1DCF-09A6-AA12-3620C50CB31C}">
    <xltc:text>Affinity default from lib/screens/business_acquisition_page.dart and test/business_model_test.dart. Replace with documented deal data when auditing a real acquisition.</xltc:text>
  </xltc:threadedComment>
  <xltc:threadedComment ref="B17" dT="2026-08-22T22:25:47.372" personId="{1E5CB6F9-B950-4EFC-ABDA-D095517B1732}" id="{993039A4-341A-57A9-88E8-1A33E0E7B275}">
    <xltc:text>Affinity default from lib/screens/business_acquisition_page.dart and test/business_model_test.dart. Replace with documented deal data when auditing a real acquisition.</xltc:text>
  </xltc:threadedComment>
  <xltc:threadedComment ref="B18" dT="2026-08-22T22:25:47.372" personId="{1E5CB6F9-B950-4EFC-ABDA-D095517B1732}" id="{5A39A262-B157-3F30-B030-AB5652928530}">
    <xltc:text>Affinity default from lib/screens/business_acquisition_page.dart and test/business_model_test.dart. Replace with documented deal data when auditing a real acquisition.</xltc:text>
  </xltc:threadedComment>
  <xltc:threadedComment ref="B19" dT="2026-08-22T22:25:47.372" personId="{1E5CB6F9-B950-4EFC-ABDA-D095517B1732}" id="{1D465ACB-ACC2-DCC3-6696-68C73B1D553C}">
    <xltc:text>Affinity default from lib/screens/business_acquisition_page.dart and test/business_model_test.dart. Replace with documented deal data when auditing a real acquisition.</xltc:text>
  </xltc:threadedComment>
  <xltc:threadedComment ref="B20" dT="2026-08-22T22:25:47.372" personId="{1E5CB6F9-B950-4EFC-ABDA-D095517B1732}" id="{3F458389-E307-EE1A-EF68-EE095B94B3AE}">
    <xltc:text>Affinity default from lib/screens/business_acquisition_page.dart and test/business_model_test.dart. Replace with documented deal data when auditing a real acquisition.</xltc:text>
  </xltc:threadedComment>
  <xltc:threadedComment ref="B21" dT="2026-08-22T22:25:47.372" personId="{1E5CB6F9-B950-4EFC-ABDA-D095517B1732}" id="{91B50D89-312E-1361-CC58-EDA5EABD4ED0}">
    <xltc:text>Affinity default from lib/screens/business_acquisition_page.dart and test/business_model_test.dart. Replace with documented deal data when auditing a real acquisition.</xltc:text>
  </xltc:threadedComment>
  <xltc:threadedComment ref="B22" dT="2026-08-22T22:25:47.372" personId="{1E5CB6F9-B950-4EFC-ABDA-D095517B1732}" id="{875FF4CF-EC0A-1ED3-FD04-248AA1BA23B2}">
    <xltc:text>Affinity default from lib/screens/business_acquisition_page.dart and test/business_model_test.dart. Replace with documented deal data when auditing a real acquisition.</xltc:text>
  </xltc:threadedComment>
  <xltc:threadedComment ref="B23" dT="2026-08-22T22:25:47.372" personId="{1E5CB6F9-B950-4EFC-ABDA-D095517B1732}" id="{5087E06E-0454-4479-8672-B5B0505FFFAF}">
    <xltc:text>Affinity default from lib/screens/business_acquisition_page.dart and test/business_model_test.dart. Replace with documented deal data when auditing a real acquisition.</xltc:text>
  </xltc:threadedComment>
  <xltc:threadedComment ref="B24" dT="2026-08-22T22:25:47.372" personId="{1E5CB6F9-B950-4EFC-ABDA-D095517B1732}" id="{6F70AE86-32A6-945E-2912-6037026532BF}">
    <xltc:text>Affinity default from lib/screens/business_acquisition_page.dart and test/business_model_test.dart. Replace with documented deal data when auditing a real acquisition.</xltc:text>
  </xltc:threadedComment>
  <xltc:threadedComment ref="B25" dT="2026-08-22T22:25:47.372" personId="{1E5CB6F9-B950-4EFC-ABDA-D095517B1732}" id="{D8C3CDB5-929F-AC1E-75C7-BF2E1882DA29}">
    <xltc:text>Affinity default from lib/screens/business_acquisition_page.dart and test/business_model_test.dart. Replace with documented deal data when auditing a real acquisition.</xltc:text>
  </xltc:threadedComment>
  <xltc:threadedComment ref="B26" dT="2026-08-22T22:25:47.372" personId="{1E5CB6F9-B950-4EFC-ABDA-D095517B1732}" id="{89C9A9D3-DAD3-1523-BB1C-675798F20531}">
    <xltc:text>Affinity default from lib/screens/business_acquisition_page.dart and test/business_model_test.dart. Replace with documented deal data when auditing a real acquisition.</xltc:text>
  </xltc:threadedComment>
  <xltc:threadedComment ref="B27" dT="2026-08-22T22:25:47.372" personId="{1E5CB6F9-B950-4EFC-ABDA-D095517B1732}" id="{38A136C6-4C57-B2E5-59F3-6F950CD57207}">
    <xltc:text>Affinity default from lib/screens/business_acquisition_page.dart and test/business_model_test.dart. Replace with documented deal data when auditing a real acquisition.</xltc:text>
  </xltc:threadedComment>
  <xltc:threadedComment ref="B28" dT="2026-08-22T22:25:47.372" personId="{1E5CB6F9-B950-4EFC-ABDA-D095517B1732}" id="{B83D59CB-8548-E90B-B065-79DEC8D26DB5}">
    <xltc:text>Affinity default from lib/screens/business_acquisition_page.dart and test/business_model_test.dart. Replace with documented deal data when auditing a real acquisition.</xltc:text>
  </xltc:threadedComment>
  <xltc:threadedComment ref="B29" dT="2026-08-22T22:25:47.372" personId="{1E5CB6F9-B950-4EFC-ABDA-D095517B1732}" id="{4CCE62BE-0BB7-6173-F2FE-B8202F095B8E}">
    <xltc:text>Affinity default from lib/screens/business_acquisition_page.dart and test/business_model_test.dart. Replace with documented deal data when auditing a real acquisition.</xltc:text>
  </xltc:threadedComment>
  <xltc:threadedComment ref="B30" dT="2026-08-22T22:25:47.372" personId="{1E5CB6F9-B950-4EFC-ABDA-D095517B1732}" id="{FC72542F-3E2C-7068-77A5-02EFAE49E188}">
    <xltc:text>Affinity default from lib/screens/business_acquisition_page.dart and test/business_model_test.dart. Replace with documented deal data when auditing a real acquisition.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25decdac902455b" /><Relationship Type="http://schemas.openxmlformats.org/officeDocument/2006/relationships/vmlDrawing" Target="/xl/drawings/vmldrawing.vml" Id="R429c00de7a944adc" /><Relationship Type="http://schemas.microsoft.com/office/2017/10/relationships/threadedComment" Target="/xl/threadedcomments/threadedcomment.xml" Id="R583f2ba63386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8" hidden="0" customWidth="1"/>
    <x:col min="4" max="4" width="16" hidden="0" customWidth="1"/>
    <x:col min="5" max="5" width="4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Affinity · Acquisition Calculator Audit</x:v>
      </x:c>
      <x:c r="B1" s="3"/>
      <x:c r="C1" s="3"/>
      <x:c r="D1" s="3"/>
      <x:c r="E1" s="3"/>
      <x:c r="F1" s="3"/>
      <x:c r="G1" s="3"/>
      <x:c r="H1" s="3"/>
    </x:row>
    <x:row r="2" ht="22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Editable Excel proof of the production calculator. Start on Inputs, then trace Calculations, Scenarios &amp; Risk, and Checks.</x:v>
      </x:c>
      <x:c r="B3" s="34"/>
      <x:c r="C3" s="34"/>
      <x:c r="D3" s="34"/>
      <x:c r="E3" s="34"/>
      <x:c r="F3" s="34"/>
      <x:c r="G3" s="34"/>
      <x:c r="H3" s="34"/>
    </x:row>
    <x:row r="4">
      <x:c r="A4" s="35"/>
      <x:c r="B4" s="35"/>
      <x:c r="C4" s="35"/>
      <x:c r="D4" s="35"/>
      <x:c r="E4" s="35"/>
      <x:c r="F4" s="35"/>
      <x:c r="G4" s="35"/>
      <x:c r="H4" s="35"/>
    </x:row>
    <x:row r="5">
      <x:c r="A5" s="83" t="str">
        <x:v>DEFAULT-CASE OUTPUTS</x:v>
      </x:c>
      <x:c r="B5" s="83"/>
      <x:c r="C5" s="83"/>
      <x:c r="D5" s="83"/>
      <x:c r="E5" s="83"/>
      <x:c r="F5" s="83"/>
      <x:c r="G5" s="83"/>
      <x:c r="H5" s="83"/>
    </x:row>
    <x:row r="6">
      <x:c r="A6" s="168" t="str">
        <x:v>Viability score</x:v>
      </x:c>
      <x:c r="B6" s="168"/>
      <x:c r="C6" s="169" t="str">
        <x:v>Risk score</x:v>
      </x:c>
      <x:c r="D6" s="169"/>
      <x:c r="E6" s="168" t="str">
        <x:v>Cash after owner</x:v>
      </x:c>
      <x:c r="F6" s="168"/>
      <x:c r="G6" s="169" t="str">
        <x:v>DSCR</x:v>
      </x:c>
      <x:c r="H6" s="169"/>
    </x:row>
    <x:row r="7">
      <x:c r="A7" s="170" t="n">
        <x:f>'Scenarios &amp; Risk'!B25</x:f>
        <x:v>82.16473858152051</x:v>
      </x:c>
      <x:c r="B7" s="171"/>
      <x:c r="C7" s="172" t="n">
        <x:f>'Scenarios &amp; Risk'!B23</x:f>
        <x:v>26.6</x:v>
      </x:c>
      <x:c r="D7" s="173"/>
      <x:c r="E7" s="174" t="n">
        <x:f>'Calculations'!B20</x:f>
        <x:v>123582.81399943912</x:v>
      </x:c>
      <x:c r="F7" s="171"/>
      <x:c r="G7" s="175" t="n">
        <x:f>'Calculations'!B21</x:f>
        <x:v>1.7209476300645534</x:v>
      </x:c>
      <x:c r="H7" s="173"/>
    </x:row>
    <x:row r="8">
      <x:c r="A8" s="35"/>
      <x:c r="B8" s="35"/>
      <x:c r="C8" s="35"/>
      <x:c r="D8" s="35"/>
      <x:c r="E8" s="35"/>
      <x:c r="F8" s="35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83" t="str">
        <x:v>HOW TO AUDIT THE MODEL</x:v>
      </x:c>
      <x:c r="B10" s="83"/>
      <x:c r="C10" s="83"/>
      <x:c r="D10" s="83"/>
      <x:c r="E10" s="83"/>
      <x:c r="F10" s="83"/>
      <x:c r="G10" s="83"/>
      <x:c r="H10" s="83"/>
    </x:row>
    <x:row r="11">
      <x:c r="A11" s="176" t="str">
        <x:v>1</x:v>
      </x:c>
      <x:c r="B11" s="177" t="str">
        <x:v>Edit blue cells on Inputs</x:v>
      </x:c>
      <x:c r="C11" s="177"/>
      <x:c r="D11" s="178" t="str">
        <x:v>2</x:v>
      </x:c>
      <x:c r="E11" s="177" t="str">
        <x:v>Follow the formula bridge on Calculations</x:v>
      </x:c>
      <x:c r="F11" s="177"/>
      <x:c r="G11" s="177"/>
      <x:c r="H11" s="39"/>
    </x:row>
    <x:row r="12">
      <x:c r="A12" s="179" t="str">
        <x:v>3</x:v>
      </x:c>
      <x:c r="B12" s="180" t="str">
        <x:v>Review each risk point and scenario</x:v>
      </x:c>
      <x:c r="C12" s="180"/>
      <x:c r="D12" s="181" t="str">
        <x:v>4</x:v>
      </x:c>
      <x:c r="E12" s="180" t="str">
        <x:v>Confirm every check says OK</x:v>
      </x:c>
      <x:c r="F12" s="180"/>
      <x:c r="G12" s="180"/>
      <x:c r="H12" s="43"/>
    </x:row>
    <x:row r="13">
      <x:c r="A13" s="179" t="str"/>
      <x:c r="B13" s="182" t="str">
        <x:v>Green text indicates a formula linked from another worksheet.</x:v>
      </x:c>
      <x:c r="C13" s="180"/>
      <x:c r="D13" s="181" t="str"/>
      <x:c r="E13" s="180" t="str">
        <x:v>Black formula cells calculate locally on the current sheet.</x:v>
      </x:c>
      <x:c r="F13" s="180"/>
      <x:c r="G13" s="180"/>
      <x:c r="H13" s="43"/>
    </x:row>
    <x:row r="14">
      <x:c r="A14" s="183" t="str"/>
      <x:c r="B14" s="184" t="str">
        <x:v>Educational screening only—not valuation, QOE, legal, tax, or financing advice.</x:v>
      </x:c>
      <x:c r="C14" s="184"/>
      <x:c r="D14" s="185" t="str"/>
      <x:c r="E14" s="184" t="str">
        <x:v>Source logic: lib/models/business_model.dart</x:v>
      </x:c>
      <x:c r="F14" s="184"/>
      <x:c r="G14" s="184"/>
      <x:c r="H14" s="50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10" t="str">
        <x:v>Color legend</x:v>
      </x:c>
      <x:c r="B17" s="10" t="str">
        <x:v>Meaning</x:v>
      </x:c>
      <x:c r="C17" s="10" t="str"/>
      <x:c r="D17" s="35"/>
      <x:c r="E17" s="35"/>
      <x:c r="F17" s="35"/>
      <x:c r="G17" s="35"/>
      <x:c r="H17" s="35"/>
    </x:row>
    <x:row r="18">
      <x:c r="A18" s="186" t="str">
        <x:v>Blue</x:v>
      </x:c>
      <x:c r="B18" s="35" t="str">
        <x:v>Editable input / scenario assumption</x:v>
      </x:c>
      <x:c r="C18" s="35" t="str"/>
      <x:c r="D18" s="35"/>
      <x:c r="E18" s="35"/>
      <x:c r="F18" s="35"/>
      <x:c r="G18" s="35"/>
      <x:c r="H18" s="35"/>
    </x:row>
    <x:row r="19">
      <x:c r="A19" s="187" t="str">
        <x:v>Green</x:v>
      </x:c>
      <x:c r="B19" s="35" t="str">
        <x:v>Formula linked from another worksheet</x:v>
      </x:c>
      <x:c r="C19" s="35" t="str"/>
      <x:c r="D19" s="35"/>
      <x:c r="E19" s="35"/>
      <x:c r="F19" s="35"/>
      <x:c r="G19" s="35"/>
      <x:c r="H19" s="35"/>
    </x:row>
    <x:row r="20">
      <x:c r="A20" s="188" t="str">
        <x:v>Black</x:v>
      </x:c>
      <x:c r="B20" s="35" t="str">
        <x:v>Formula calculated on the current worksheet</x:v>
      </x:c>
      <x:c r="C20" s="35" t="str"/>
      <x:c r="D20" s="35"/>
      <x:c r="E20" s="35"/>
      <x:c r="F20" s="35"/>
      <x:c r="G20" s="35"/>
      <x:c r="H20" s="35"/>
    </x:row>
  </x:sheetData>
  <x:mergeCells>
    <x:mergeCell ref="A1:H2"/>
    <x:mergeCell ref="A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54" hidden="0" customWidth="1"/>
  </x:cols>
  <x:sheetData>
    <x:row r="1" ht="28" customHeight="1">
      <x:c r="A1" s="3" t="str">
        <x:v>Affinity · Business Acquisition Inputs</x:v>
      </x:c>
      <x:c r="B1" s="3"/>
      <x:c r="C1" s="3"/>
      <x:c r="D1" s="3"/>
    </x:row>
    <x:row r="2" ht="22" customHeight="1">
      <x:c r="A2" s="3"/>
      <x:c r="B2" s="3"/>
      <x:c r="C2" s="3"/>
      <x:c r="D2" s="3"/>
    </x:row>
    <x:row r="3" ht="34" customHeight="1">
      <x:c r="A3" s="34" t="str">
        <x:v>Blue font = editable assumption. Defaults mirror the app's business acquisition test case. Currency: CAD.</x:v>
      </x:c>
      <x:c r="B3" s="34"/>
      <x:c r="C3" s="34"/>
      <x:c r="D3" s="34"/>
    </x:row>
    <x:row r="4">
      <x:c r="A4" s="35"/>
      <x:c r="B4" s="35"/>
      <x:c r="C4" s="35"/>
      <x:c r="D4" s="35"/>
    </x:row>
    <x:row r="5">
      <x:c r="A5" s="10" t="str">
        <x:v>Input</x:v>
      </x:c>
      <x:c r="B5" s="10" t="str">
        <x:v>Value</x:v>
      </x:c>
      <x:c r="C5" s="10" t="str">
        <x:v>Unit</x:v>
      </x:c>
      <x:c r="D5" s="10" t="str">
        <x:v>What belongs here</x:v>
      </x:c>
    </x:row>
    <x:row r="6">
      <x:c r="A6" s="36" t="str">
        <x:v>Asking price</x:v>
      </x:c>
      <x:c r="B6" s="37" t="n">
        <x:v>1200000</x:v>
      </x:c>
      <x:c r="C6" s="38" t="str">
        <x:v>CAD</x:v>
      </x:c>
      <x:c r="D6" s="39" t="str">
        <x:v>Purchase price requested by the seller.</x:v>
      </x:c>
    </x:row>
    <x:row r="7">
      <x:c r="A7" s="40" t="str">
        <x:v>Annual revenue</x:v>
      </x:c>
      <x:c r="B7" s="41" t="n">
        <x:v>1800000</x:v>
      </x:c>
      <x:c r="C7" s="42" t="str">
        <x:v>CAD / year</x:v>
      </x:c>
      <x:c r="D7" s="43" t="str">
        <x:v>Latest normalized annual sales.</x:v>
      </x:c>
    </x:row>
    <x:row r="8">
      <x:c r="A8" s="40" t="str">
        <x:v>Gross profit</x:v>
      </x:c>
      <x:c r="B8" s="41" t="n">
        <x:v>720000</x:v>
      </x:c>
      <x:c r="C8" s="42" t="str">
        <x:v>CAD / year</x:v>
      </x:c>
      <x:c r="D8" s="43" t="str">
        <x:v>Revenue less direct costs.</x:v>
      </x:c>
    </x:row>
    <x:row r="9">
      <x:c r="A9" s="40" t="str">
        <x:v>Reported EBITDA</x:v>
      </x:c>
      <x:c r="B9" s="41" t="n">
        <x:v>260000</x:v>
      </x:c>
      <x:c r="C9" s="42" t="str">
        <x:v>CAD / year</x:v>
      </x:c>
      <x:c r="D9" s="43" t="str">
        <x:v>Reported EBITDA before Affinity normalization.</x:v>
      </x:c>
    </x:row>
    <x:row r="10">
      <x:c r="A10" s="40" t="str">
        <x:v>Reported net income</x:v>
      </x:c>
      <x:c r="B10" s="41" t="n">
        <x:v>150000</x:v>
      </x:c>
      <x:c r="C10" s="42" t="str">
        <x:v>CAD / year</x:v>
      </x:c>
      <x:c r="D10" s="43" t="str">
        <x:v>Fallback only when reported EBITDA is zero.</x:v>
      </x:c>
    </x:row>
    <x:row r="11">
      <x:c r="A11" s="40" t="str">
        <x:v>Seller compensation in expenses</x:v>
      </x:c>
      <x:c r="B11" s="41" t="n">
        <x:v>140000</x:v>
      </x:c>
      <x:c r="C11" s="42" t="str">
        <x:v>CAD / year</x:v>
      </x:c>
      <x:c r="D11" s="43" t="str">
        <x:v>Seller salary, bonus and benefits already deducted in EBITDA.</x:v>
      </x:c>
    </x:row>
    <x:row r="12">
      <x:c r="A12" s="40" t="str">
        <x:v>Claimed seller add-backs</x:v>
      </x:c>
      <x:c r="B12" s="41" t="n">
        <x:v>90000</x:v>
      </x:c>
      <x:c r="C12" s="42" t="str">
        <x:v>CAD / year</x:v>
      </x:c>
      <x:c r="D12" s="43" t="str">
        <x:v>All expenses the seller claims will not continue.</x:v>
      </x:c>
    </x:row>
    <x:row r="13">
      <x:c r="A13" s="40" t="str">
        <x:v>Verified add-backs</x:v>
      </x:c>
      <x:c r="B13" s="41" t="n">
        <x:v>50000</x:v>
      </x:c>
      <x:c r="C13" s="42" t="str">
        <x:v>CAD / year</x:v>
      </x:c>
      <x:c r="D13" s="43" t="str">
        <x:v>Supported add-backs; capped at claimed add-backs.</x:v>
      </x:c>
    </x:row>
    <x:row r="14">
      <x:c r="A14" s="40" t="str">
        <x:v>Replacement owner salary</x:v>
      </x:c>
      <x:c r="B14" s="41" t="n">
        <x:v>120000</x:v>
      </x:c>
      <x:c r="C14" s="42" t="str">
        <x:v>CAD / year</x:v>
      </x:c>
      <x:c r="D14" s="43" t="str">
        <x:v>Market salary for the buyer or replacement manager.</x:v>
      </x:c>
    </x:row>
    <x:row r="15">
      <x:c r="A15" s="40" t="str">
        <x:v>Maintenance capex</x:v>
      </x:c>
      <x:c r="B15" s="41" t="n">
        <x:v>35000</x:v>
      </x:c>
      <x:c r="C15" s="42" t="str">
        <x:v>CAD / year</x:v>
      </x:c>
      <x:c r="D15" s="43" t="str">
        <x:v>Recurring reinvestment required to sustain earnings.</x:v>
      </x:c>
    </x:row>
    <x:row r="16">
      <x:c r="A16" s="40" t="str">
        <x:v>Inventory purchased separately</x:v>
      </x:c>
      <x:c r="B16" s="41" t="n">
        <x:v>50000</x:v>
      </x:c>
      <x:c r="C16" s="42" t="str">
        <x:v>CAD</x:v>
      </x:c>
      <x:c r="D16" s="43" t="str">
        <x:v>Inventory paid in addition to asking price.</x:v>
      </x:c>
    </x:row>
    <x:row r="17">
      <x:c r="A17" s="40" t="str">
        <x:v>Working capital included</x:v>
      </x:c>
      <x:c r="B17" s="41" t="n">
        <x:v>60000</x:v>
      </x:c>
      <x:c r="C17" s="42" t="str">
        <x:v>CAD</x:v>
      </x:c>
      <x:c r="D17" s="43" t="str">
        <x:v>Working capital transferred at closing.</x:v>
      </x:c>
    </x:row>
    <x:row r="18">
      <x:c r="A18" s="40" t="str">
        <x:v>Required working capital</x:v>
      </x:c>
      <x:c r="B18" s="41" t="n">
        <x:v>150000</x:v>
      </x:c>
      <x:c r="C18" s="42" t="str">
        <x:v>CAD</x:v>
      </x:c>
      <x:c r="D18" s="43" t="str">
        <x:v>Minimum capital needed after closing.</x:v>
      </x:c>
    </x:row>
    <x:row r="19">
      <x:c r="A19" s="40" t="str">
        <x:v>Transaction costs</x:v>
      </x:c>
      <x:c r="B19" s="41" t="n">
        <x:v>70000</x:v>
      </x:c>
      <x:c r="C19" s="42" t="str">
        <x:v>CAD</x:v>
      </x:c>
      <x:c r="D19" s="43" t="str">
        <x:v>Legal, accounting, lender and closing costs.</x:v>
      </x:c>
    </x:row>
    <x:row r="20">
      <x:c r="A20" s="40" t="str">
        <x:v>Debt financing</x:v>
      </x:c>
      <x:c r="B20" s="44" t="n">
        <x:v>0.65</x:v>
      </x:c>
      <x:c r="C20" s="42" t="str">
        <x:v>% of total cost</x:v>
      </x:c>
      <x:c r="D20" s="43" t="str">
        <x:v>Share of total acquisition cost funded by debt.</x:v>
      </x:c>
    </x:row>
    <x:row r="21">
      <x:c r="A21" s="40" t="str">
        <x:v>Interest rate</x:v>
      </x:c>
      <x:c r="B21" s="44" t="n">
        <x:v>0.08</x:v>
      </x:c>
      <x:c r="C21" s="42" t="str">
        <x:v>% annual</x:v>
      </x:c>
      <x:c r="D21" s="43" t="str">
        <x:v>Modeled annual loan interest rate.</x:v>
      </x:c>
    </x:row>
    <x:row r="22">
      <x:c r="A22" s="40" t="str">
        <x:v>Amortization</x:v>
      </x:c>
      <x:c r="B22" s="45" t="n">
        <x:v>7</x:v>
      </x:c>
      <x:c r="C22" s="42" t="str">
        <x:v>years</x:v>
      </x:c>
      <x:c r="D22" s="43" t="str">
        <x:v>Years over which acquisition debt is repaid.</x:v>
      </x:c>
    </x:row>
    <x:row r="23">
      <x:c r="A23" s="40" t="str">
        <x:v>Revenue growth</x:v>
      </x:c>
      <x:c r="B23" s="44" t="n">
        <x:v>0.03</x:v>
      </x:c>
      <x:c r="C23" s="42" t="str">
        <x:v>% annual</x:v>
      </x:c>
      <x:c r="D23" s="43" t="str">
        <x:v>Recent normalized growth; negative means decline.</x:v>
      </x:c>
    </x:row>
    <x:row r="24">
      <x:c r="A24" s="40" t="str">
        <x:v>Largest customer</x:v>
      </x:c>
      <x:c r="B24" s="44" t="n">
        <x:v>0.18</x:v>
      </x:c>
      <x:c r="C24" s="42" t="str">
        <x:v>% of revenue</x:v>
      </x:c>
      <x:c r="D24" s="43" t="str">
        <x:v>Revenue from the largest customer.</x:v>
      </x:c>
    </x:row>
    <x:row r="25">
      <x:c r="A25" s="40" t="str">
        <x:v>Owner dependence</x:v>
      </x:c>
      <x:c r="B25" s="44" t="n">
        <x:v>0.55</x:v>
      </x:c>
      <x:c r="C25" s="42" t="str">
        <x:v>%</x:v>
      </x:c>
      <x:c r="D25" s="43" t="str">
        <x:v>Estimated operational dependence on the seller.</x:v>
      </x:c>
    </x:row>
    <x:row r="26">
      <x:c r="A26" s="40" t="str">
        <x:v>Lease term remaining</x:v>
      </x:c>
      <x:c r="B26" s="46" t="n">
        <x:v>4</x:v>
      </x:c>
      <x:c r="C26" s="42" t="str">
        <x:v>years</x:v>
      </x:c>
      <x:c r="D26" s="43" t="str">
        <x:v>Committed term for critical premises.</x:v>
      </x:c>
    </x:row>
    <x:row r="27">
      <x:c r="A27" s="40" t="str">
        <x:v>Three years of statements provided</x:v>
      </x:c>
      <x:c r="B27" s="46" t="n">
        <x:v>1</x:v>
      </x:c>
      <x:c r="C27" s="42" t="str">
        <x:v>1 = yes</x:v>
      </x:c>
      <x:c r="D27" s="43" t="str">
        <x:v>Evidence-completeness flag.</x:v>
      </x:c>
    </x:row>
    <x:row r="28">
      <x:c r="A28" s="40" t="str">
        <x:v>Tax returns reviewed</x:v>
      </x:c>
      <x:c r="B28" s="46" t="n">
        <x:v>1</x:v>
      </x:c>
      <x:c r="C28" s="42" t="str">
        <x:v>1 = yes</x:v>
      </x:c>
      <x:c r="D28" s="43" t="str">
        <x:v>Evidence-completeness flag.</x:v>
      </x:c>
    </x:row>
    <x:row r="29">
      <x:c r="A29" s="40" t="str">
        <x:v>Bank statements reviewed</x:v>
      </x:c>
      <x:c r="B29" s="46" t="n">
        <x:v>1</x:v>
      </x:c>
      <x:c r="C29" s="42" t="str">
        <x:v>1 = yes</x:v>
      </x:c>
      <x:c r="D29" s="43" t="str">
        <x:v>Evidence-completeness flag.</x:v>
      </x:c>
    </x:row>
    <x:row r="30">
      <x:c r="A30" s="47" t="str">
        <x:v>Customer list reviewed</x:v>
      </x:c>
      <x:c r="B30" s="48" t="n">
        <x:v>1</x:v>
      </x:c>
      <x:c r="C30" s="49" t="str">
        <x:v>1 = yes</x:v>
      </x:c>
      <x:c r="D30" s="50" t="str">
        <x:v>Evidence-completeness flag.</x:v>
      </x:c>
    </x:row>
  </x:sheetData>
  <x:mergeCells>
    <x:mergeCell ref="A1:D2"/>
    <x:mergeCell ref="A3:D3"/>
  </x:mergeCells>
  <x:pageMargins left="0.7" right="0.7" top="0.75" bottom="0.75" header="0.3" footer="0.3"/>
  <x:legacyDrawing xmlns:r="http://schemas.openxmlformats.org/officeDocument/2006/relationships" r:id="R429c00de7a944ad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64" hidden="0" customWidth="1"/>
  </x:cols>
  <x:sheetData>
    <x:row r="1" ht="28" customHeight="1">
      <x:c r="A1" s="3" t="str">
        <x:v>Affinity · Calculation Bridge</x:v>
      </x:c>
      <x:c r="B1" s="3"/>
      <x:c r="C1" s="3"/>
      <x:c r="D1" s="3"/>
    </x:row>
    <x:row r="2" ht="22" customHeight="1">
      <x:c r="A2" s="3"/>
      <x:c r="B2" s="3"/>
      <x:c r="C2" s="3"/>
      <x:c r="D2" s="3"/>
    </x:row>
    <x:row r="3" ht="34" customHeight="1">
      <x:c r="A3" s="34" t="str">
        <x:v>Every output below is a live Excel formula that mirrors lib/models/business_model.dart. Click any value to inspect its formula.</x:v>
      </x:c>
      <x:c r="B3" s="34"/>
      <x:c r="C3" s="34"/>
      <x:c r="D3" s="34"/>
    </x:row>
    <x:row r="4">
      <x:c r="A4" s="35"/>
      <x:c r="B4" s="35"/>
      <x:c r="C4" s="35"/>
      <x:c r="D4" s="35"/>
    </x:row>
    <x:row r="5">
      <x:c r="A5" s="10" t="str">
        <x:v>Calculation</x:v>
      </x:c>
      <x:c r="B5" s="10" t="str">
        <x:v>Result</x:v>
      </x:c>
      <x:c r="C5" s="10" t="str">
        <x:v>Unit</x:v>
      </x:c>
      <x:c r="D5" s="10" t="str">
        <x:v>Formula logic</x:v>
      </x:c>
    </x:row>
    <x:row r="6">
      <x:c r="A6" s="36" t="str">
        <x:v>Base EBITDA</x:v>
      </x:c>
      <x:c r="B6" s="189" t="n">
        <x:f>IF('Inputs'!B9&lt;&gt;0,'Inputs'!B9,'Inputs'!B10)</x:f>
        <x:v>260000</x:v>
      </x:c>
      <x:c r="C6" s="38" t="str">
        <x:v>CAD / year</x:v>
      </x:c>
      <x:c r="D6" s="39" t="str">
        <x:v>Reported EBITDA; if zero, use reported net income</x:v>
      </x:c>
    </x:row>
    <x:row r="7">
      <x:c r="A7" s="40" t="str">
        <x:v>Verified add-backs used</x:v>
      </x:c>
      <x:c r="B7" s="190" t="n">
        <x:f>MIN('Inputs'!B12,'Inputs'!B13)</x:f>
        <x:v>50000</x:v>
      </x:c>
      <x:c r="C7" s="42" t="str">
        <x:v>CAD / year</x:v>
      </x:c>
      <x:c r="D7" s="43" t="str">
        <x:v>Lower of claimed and verified add-backs</x:v>
      </x:c>
    </x:row>
    <x:row r="8">
      <x:c r="A8" s="191" t="str">
        <x:v>Normalized EBITDA</x:v>
      </x:c>
      <x:c r="B8" s="192" t="n">
        <x:f>B6+'Inputs'!B11+B7</x:f>
        <x:v>450000</x:v>
      </x:c>
      <x:c r="C8" s="193" t="str">
        <x:v>CAD / year</x:v>
      </x:c>
      <x:c r="D8" s="194" t="str">
        <x:v>Base EBITDA + seller compensation + verified add-backs</x:v>
      </x:c>
    </x:row>
    <x:row r="9">
      <x:c r="A9" s="191" t="str">
        <x:v>Normalized owner earnings</x:v>
      </x:c>
      <x:c r="B9" s="192" t="n">
        <x:f>B8-'Inputs'!B14-'Inputs'!B15</x:f>
        <x:v>295000</x:v>
      </x:c>
      <x:c r="C9" s="193" t="str">
        <x:v>CAD / year</x:v>
      </x:c>
      <x:c r="D9" s="194" t="str">
        <x:v>Normalized EBITDA − replacement salary − maintenance capex</x:v>
      </x:c>
    </x:row>
    <x:row r="10">
      <x:c r="A10" s="40" t="str"/>
      <x:c r="B10" s="190"/>
      <x:c r="C10" s="42" t="str"/>
      <x:c r="D10" s="43" t="str"/>
    </x:row>
    <x:row r="11">
      <x:c r="A11" s="40" t="str">
        <x:v>Working-capital gap</x:v>
      </x:c>
      <x:c r="B11" s="190" t="n">
        <x:f>MAX(0,'Inputs'!B18-'Inputs'!B17)</x:f>
        <x:v>90000</x:v>
      </x:c>
      <x:c r="C11" s="42" t="str">
        <x:v>CAD</x:v>
      </x:c>
      <x:c r="D11" s="43" t="str">
        <x:v>Higher of zero or required less included working capital</x:v>
      </x:c>
    </x:row>
    <x:row r="12">
      <x:c r="A12" s="195" t="str">
        <x:v>Total acquisition cost</x:v>
      </x:c>
      <x:c r="B12" s="196" t="n">
        <x:f>'Inputs'!B6+'Inputs'!B19+B11+'Inputs'!B16</x:f>
        <x:v>1410000</x:v>
      </x:c>
      <x:c r="C12" s="197" t="str">
        <x:v>CAD</x:v>
      </x:c>
      <x:c r="D12" s="198" t="str">
        <x:v>Asking price + transaction costs + working-capital gap + inventory</x:v>
      </x:c>
    </x:row>
    <x:row r="13">
      <x:c r="A13" s="195" t="str">
        <x:v>Loan amount</x:v>
      </x:c>
      <x:c r="B13" s="196" t="n">
        <x:f>B12*MIN(1,MAX(0,'Inputs'!B20))</x:f>
        <x:v>916500</x:v>
      </x:c>
      <x:c r="C13" s="197" t="str">
        <x:v>CAD</x:v>
      </x:c>
      <x:c r="D13" s="198" t="str">
        <x:v>Total cost × debt financing percentage</x:v>
      </x:c>
    </x:row>
    <x:row r="14">
      <x:c r="A14" s="195" t="str">
        <x:v>Buyer equity</x:v>
      </x:c>
      <x:c r="B14" s="196" t="n">
        <x:f>B12-B13</x:f>
        <x:v>493500</x:v>
      </x:c>
      <x:c r="C14" s="197" t="str">
        <x:v>CAD</x:v>
      </x:c>
      <x:c r="D14" s="198" t="str">
        <x:v>Total cost − loan amount</x:v>
      </x:c>
    </x:row>
    <x:row r="15">
      <x:c r="A15" s="195" t="str">
        <x:v>Monthly interest rate</x:v>
      </x:c>
      <x:c r="B15" s="199" t="n">
        <x:f>'Inputs'!B21/12</x:f>
        <x:v>0.006666666666666667</x:v>
      </x:c>
      <x:c r="C15" s="197" t="str">
        <x:v>% monthly</x:v>
      </x:c>
      <x:c r="D15" s="198" t="str">
        <x:v>Annual interest rate ÷ 12</x:v>
      </x:c>
    </x:row>
    <x:row r="16">
      <x:c r="A16" s="195" t="str">
        <x:v>Number of monthly payments</x:v>
      </x:c>
      <x:c r="B16" s="200" t="n">
        <x:f>MAX(1,'Inputs'!B22)*12</x:f>
        <x:v>84</x:v>
      </x:c>
      <x:c r="C16" s="197" t="str">
        <x:v>months</x:v>
      </x:c>
      <x:c r="D16" s="198" t="str">
        <x:v>Amortization years × 12</x:v>
      </x:c>
    </x:row>
    <x:row r="17">
      <x:c r="A17" s="195" t="str">
        <x:v>Annual debt service</x:v>
      </x:c>
      <x:c r="B17" s="196" t="n">
        <x:f>IF(B13&lt;=0,0,IF(B15&lt;=0,B13/MAX(1,'Inputs'!B22),B13*B15/(1-(1+B15)^(-B16))*12))</x:f>
        <x:v>171417.18600056088</x:v>
      </x:c>
      <x:c r="C17" s="197" t="str">
        <x:v>CAD / year</x:v>
      </x:c>
      <x:c r="D17" s="198" t="str">
        <x:v>Monthly amortizing payment × 12</x:v>
      </x:c>
    </x:row>
    <x:row r="18">
      <x:c r="A18" s="40" t="str"/>
      <x:c r="B18" s="190"/>
      <x:c r="C18" s="42" t="str"/>
      <x:c r="D18" s="43" t="str"/>
    </x:row>
    <x:row r="19">
      <x:c r="A19" s="40" t="str">
        <x:v>Cash after debt</x:v>
      </x:c>
      <x:c r="B19" s="190" t="n">
        <x:f>B8-'Inputs'!B15-B17</x:f>
        <x:v>243582.81399943912</x:v>
      </x:c>
      <x:c r="C19" s="42" t="str">
        <x:v>CAD / year</x:v>
      </x:c>
      <x:c r="D19" s="43" t="str">
        <x:v>Normalized EBITDA − maintenance capex − annual debt service</x:v>
      </x:c>
    </x:row>
    <x:row r="20">
      <x:c r="A20" s="191" t="str">
        <x:v>Cash after owner salary</x:v>
      </x:c>
      <x:c r="B20" s="192" t="n">
        <x:f>B19-'Inputs'!B14</x:f>
        <x:v>123582.81399943912</x:v>
      </x:c>
      <x:c r="C20" s="193" t="str">
        <x:v>CAD / year</x:v>
      </x:c>
      <x:c r="D20" s="194" t="str">
        <x:v>Cash after debt − replacement salary</x:v>
      </x:c>
    </x:row>
    <x:row r="21">
      <x:c r="A21" s="191" t="str">
        <x:v>Debt-service coverage ratio</x:v>
      </x:c>
      <x:c r="B21" s="201" t="n">
        <x:f>IF(B17=0,99,B9/B17)</x:f>
        <x:v>1.7209476300645534</x:v>
      </x:c>
      <x:c r="C21" s="193" t="str">
        <x:v>times</x:v>
      </x:c>
      <x:c r="D21" s="194" t="str">
        <x:v>Normalized owner earnings ÷ annual debt service</x:v>
      </x:c>
    </x:row>
    <x:row r="22">
      <x:c r="A22" s="191" t="str">
        <x:v>Price / normalized EBITDA</x:v>
      </x:c>
      <x:c r="B22" s="201" t="n">
        <x:f>IF(B8=0,0,'Inputs'!B6/B8)</x:f>
        <x:v>2.6666666666666665</x:v>
      </x:c>
      <x:c r="C22" s="193" t="str">
        <x:v>times</x:v>
      </x:c>
      <x:c r="D22" s="194" t="str">
        <x:v>Asking price ÷ normalized EBITDA</x:v>
      </x:c>
    </x:row>
    <x:row r="23">
      <x:c r="A23" s="191" t="str">
        <x:v>Price / owner earnings</x:v>
      </x:c>
      <x:c r="B23" s="201" t="n">
        <x:f>IF(B9=0,0,'Inputs'!B6/B9)</x:f>
        <x:v>4.067796610169491</x:v>
      </x:c>
      <x:c r="C23" s="193" t="str">
        <x:v>times</x:v>
      </x:c>
      <x:c r="D23" s="194" t="str">
        <x:v>Asking price ÷ normalized owner earnings</x:v>
      </x:c>
    </x:row>
    <x:row r="24">
      <x:c r="A24" s="191" t="str">
        <x:v>Equity payback</x:v>
      </x:c>
      <x:c r="B24" s="202" t="n">
        <x:f>IF(B20&gt;0,B14/B20,99)</x:f>
        <x:v>3.993273692588354</x:v>
      </x:c>
      <x:c r="C24" s="193" t="str">
        <x:v>years</x:v>
      </x:c>
      <x:c r="D24" s="194" t="str">
        <x:v>Buyer equity ÷ positive cash after owner; otherwise 99</x:v>
      </x:c>
    </x:row>
    <x:row r="25">
      <x:c r="A25" s="40" t="str">
        <x:v>Gross margin</x:v>
      </x:c>
      <x:c r="B25" s="203" t="n">
        <x:f>IF('Inputs'!B7=0,0,'Inputs'!B8/'Inputs'!B7)</x:f>
        <x:v>0.4</x:v>
      </x:c>
      <x:c r="C25" s="42" t="str">
        <x:v>%</x:v>
      </x:c>
      <x:c r="D25" s="43" t="str">
        <x:v>Gross profit ÷ revenue</x:v>
      </x:c>
    </x:row>
    <x:row r="26">
      <x:c r="A26" s="40" t="str">
        <x:v>Fixed costs</x:v>
      </x:c>
      <x:c r="B26" s="190" t="n">
        <x:f>MAX(0,'Inputs'!B8-B6-'Inputs'!B11)</x:f>
        <x:v>320000</x:v>
      </x:c>
      <x:c r="C26" s="42" t="str">
        <x:v>CAD / year</x:v>
      </x:c>
      <x:c r="D26" s="43" t="str">
        <x:v>Gross profit − base EBITDA − seller compensation, floored at zero</x:v>
      </x:c>
    </x:row>
    <x:row r="27">
      <x:c r="A27" s="40" t="str">
        <x:v>Contribution margin</x:v>
      </x:c>
      <x:c r="B27" s="203" t="n">
        <x:f>MIN(1,MAX(0.01,B25))</x:f>
        <x:v>0.4</x:v>
      </x:c>
      <x:c r="C27" s="42" t="str">
        <x:v>%</x:v>
      </x:c>
      <x:c r="D27" s="43" t="str">
        <x:v>Gross margin constrained between 1% and 100%</x:v>
      </x:c>
    </x:row>
    <x:row r="28">
      <x:c r="A28" s="40" t="str">
        <x:v>Break-even revenue</x:v>
      </x:c>
      <x:c r="B28" s="190" t="n">
        <x:f>(B26+'Inputs'!B14+'Inputs'!B15+B17)/B27</x:f>
        <x:v>1616042.9650014022</x:v>
      </x:c>
      <x:c r="C28" s="42" t="str">
        <x:v>CAD / year</x:v>
      </x:c>
      <x:c r="D28" s="43" t="str">
        <x:v>Fixed costs + salary + capex + debt service, divided by contribution margin</x:v>
      </x:c>
    </x:row>
    <x:row r="29">
      <x:c r="A29" s="40" t="str">
        <x:v>Return on buyer equity</x:v>
      </x:c>
      <x:c r="B29" s="203" t="n">
        <x:f>IF(B14=0,0,B20/B14)</x:f>
        <x:v>0.2504211023291573</x:v>
      </x:c>
      <x:c r="C29" s="42" t="str">
        <x:v>%</x:v>
      </x:c>
      <x:c r="D29" s="43" t="str">
        <x:v>Cash after owner ÷ buyer equity</x:v>
      </x:c>
    </x:row>
    <x:row r="30">
      <x:c r="A30" s="47" t="str">
        <x:v>Core-input completeness</x:v>
      </x:c>
      <x:c r="B30" s="204" t="n">
        <x:f>(IF('Inputs'!B7&lt;&gt;0,1,0)+IF('Inputs'!B8&lt;&gt;0,1,0)+IF('Inputs'!B6&lt;&gt;0,1,0)+IF(B8&lt;&gt;0,1,0)+IF('Inputs'!B14&lt;&gt;0,1,0)+IF('Inputs'!B18&lt;&gt;0,1,0)+IF('Inputs'!B24&lt;&gt;0,1,0)+IF('Inputs'!B25&lt;&gt;0,1,0))/8</x:f>
        <x:v>1</x:v>
      </x:c>
      <x:c r="C30" s="49" t="str">
        <x:v>%</x:v>
      </x:c>
      <x:c r="D30" s="50" t="str">
        <x:v>Non-zero required model fields ÷ 8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Affinity · Scenarios &amp; Risk Score</x:v>
      </x:c>
      <x:c r="B1" s="3"/>
      <x:c r="C1" s="3"/>
      <x:c r="D1" s="3"/>
      <x:c r="E1" s="3"/>
      <x:c r="F1" s="3"/>
      <x:c r="G1" s="3"/>
      <x:c r="H1" s="3"/>
    </x:row>
    <x:row r="2" ht="22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Scenario outputs and every risk-point addition are formula-driven from the Inputs and Calculations sheets.</x:v>
      </x:c>
      <x:c r="B3" s="34"/>
      <x:c r="C3" s="34"/>
      <x:c r="D3" s="34"/>
      <x:c r="E3" s="34"/>
      <x:c r="F3" s="34"/>
      <x:c r="G3" s="34"/>
      <x:c r="H3" s="34"/>
    </x:row>
    <x:row r="4">
      <x:c r="A4" s="35"/>
      <x:c r="B4" s="35"/>
      <x:c r="C4" s="35"/>
      <x:c r="D4" s="35"/>
      <x:c r="E4" s="35"/>
      <x:c r="F4" s="35"/>
      <x:c r="G4" s="35"/>
      <x:c r="H4" s="35"/>
    </x:row>
    <x:row r="5">
      <x:c r="A5" s="83" t="str">
        <x:v>REVENUE SENSITIVITY</x:v>
      </x:c>
      <x:c r="B5" s="83"/>
      <x:c r="C5" s="83"/>
      <x:c r="D5" s="83"/>
      <x:c r="E5" s="83"/>
      <x:c r="F5" s="83"/>
      <x:c r="G5" s="83"/>
      <x:c r="H5" s="83"/>
    </x:row>
    <x:row r="6">
      <x:c r="A6" s="10" t="str">
        <x:v>Scenario</x:v>
      </x:c>
      <x:c r="B6" s="10" t="str">
        <x:v>Revenue factor</x:v>
      </x:c>
      <x:c r="C6" s="10" t="str">
        <x:v>Revenue</x:v>
      </x:c>
      <x:c r="D6" s="10" t="str">
        <x:v>Gross profit</x:v>
      </x:c>
      <x:c r="E6" s="10" t="str">
        <x:v>Scenario EBITDA</x:v>
      </x:c>
      <x:c r="F6" s="10" t="str">
        <x:v>Cash after owner</x:v>
      </x:c>
      <x:c r="G6" s="10" t="str">
        <x:v>DSCR</x:v>
      </x:c>
      <x:c r="H6" s="10" t="str">
        <x:v>Equity payback</x:v>
      </x:c>
    </x:row>
    <x:row r="7">
      <x:c r="A7" s="36" t="str">
        <x:v>Downside</x:v>
      </x:c>
      <x:c r="B7" s="205" t="n">
        <x:v>0.85</x:v>
      </x:c>
      <x:c r="C7" s="206" t="n">
        <x:f>'Inputs'!B7*B7</x:f>
        <x:v>1530000</x:v>
      </x:c>
      <x:c r="D7" s="206" t="n">
        <x:f>C7*'Calculations'!B25</x:f>
        <x:v>612000</x:v>
      </x:c>
      <x:c r="E7" s="206" t="n">
        <x:f>'Calculations'!B8+(D7-'Inputs'!B8)</x:f>
        <x:v>342000</x:v>
      </x:c>
      <x:c r="F7" s="206" t="n">
        <x:f>E7-'Inputs'!B15-'Calculations'!B17-'Inputs'!B14</x:f>
        <x:v>15582.813999439124</x:v>
      </x:c>
      <x:c r="G7" s="207" t="n">
        <x:f>IF('Calculations'!B17=0,99,(E7-'Inputs'!B15-'Inputs'!B14)/'Calculations'!B17)</x:f>
        <x:v>1.0909057858375306</x:v>
      </x:c>
      <x:c r="H7" s="208" t="n">
        <x:f>IF(F7&gt;0,'Calculations'!B14/F7,99)</x:f>
        <x:v>31.669504623347404</x:v>
      </x:c>
    </x:row>
    <x:row r="8">
      <x:c r="A8" s="40" t="str">
        <x:v>Expected</x:v>
      </x:c>
      <x:c r="B8" s="209" t="n">
        <x:v>1</x:v>
      </x:c>
      <x:c r="C8" s="210" t="n">
        <x:f>'Inputs'!B7*B8</x:f>
        <x:v>1800000</x:v>
      </x:c>
      <x:c r="D8" s="210" t="n">
        <x:f>C8*'Calculations'!B25</x:f>
        <x:v>720000</x:v>
      </x:c>
      <x:c r="E8" s="210" t="n">
        <x:f>'Calculations'!B8+(D8-'Inputs'!B8)</x:f>
        <x:v>450000</x:v>
      </x:c>
      <x:c r="F8" s="210" t="n">
        <x:f>E8-'Inputs'!B15-'Calculations'!B17-'Inputs'!B14</x:f>
        <x:v>123582.81399943912</x:v>
      </x:c>
      <x:c r="G8" s="211" t="n">
        <x:f>IF('Calculations'!B17=0,99,(E8-'Inputs'!B15-'Inputs'!B14)/'Calculations'!B17)</x:f>
        <x:v>1.7209476300645534</x:v>
      </x:c>
      <x:c r="H8" s="212" t="n">
        <x:f>IF(F8&gt;0,'Calculations'!B14/F8,99)</x:f>
        <x:v>3.993273692588354</x:v>
      </x:c>
    </x:row>
    <x:row r="9">
      <x:c r="A9" s="47" t="str">
        <x:v>Upside</x:v>
      </x:c>
      <x:c r="B9" s="213" t="n">
        <x:v>1.1</x:v>
      </x:c>
      <x:c r="C9" s="214" t="n">
        <x:f>'Inputs'!B7*B9</x:f>
        <x:v>1980000.0000000002</x:v>
      </x:c>
      <x:c r="D9" s="214" t="n">
        <x:f>C9*'Calculations'!B25</x:f>
        <x:v>792000.0000000001</x:v>
      </x:c>
      <x:c r="E9" s="214" t="n">
        <x:f>'Calculations'!B8+(D9-'Inputs'!B8)</x:f>
        <x:v>522000.0000000001</x:v>
      </x:c>
      <x:c r="F9" s="214" t="n">
        <x:f>E9-'Inputs'!B15-'Calculations'!B17-'Inputs'!B14</x:f>
        <x:v>195582.81399943924</x:v>
      </x:c>
      <x:c r="G9" s="215" t="n">
        <x:f>IF('Calculations'!B17=0,99,(E9-'Inputs'!B15-'Inputs'!B14)/'Calculations'!B17)</x:f>
        <x:v>2.140975526215903</x:v>
      </x:c>
      <x:c r="H9" s="216" t="n">
        <x:f>IF(F9&gt;0,'Calculations'!B14/F9,99)</x:f>
        <x:v>2.523227833307557</x:v>
      </x:c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/>
      <x:c r="B11" s="35"/>
      <x:c r="C11" s="35"/>
      <x:c r="D11" s="35"/>
      <x:c r="E11" s="35"/>
      <x:c r="F11" s="35"/>
      <x:c r="G11" s="35"/>
      <x:c r="H11" s="35"/>
    </x:row>
    <x:row r="12">
      <x:c r="A12" s="83" t="str">
        <x:v>RISK SCORE BUILD</x:v>
      </x:c>
      <x:c r="B12" s="83"/>
      <x:c r="C12" s="83"/>
      <x:c r="D12" s="83"/>
      <x:c r="E12" s="35"/>
      <x:c r="F12" s="35"/>
      <x:c r="G12" s="35"/>
      <x:c r="H12" s="35"/>
    </x:row>
    <x:row r="13">
      <x:c r="A13" s="10" t="str">
        <x:v>Risk component</x:v>
      </x:c>
      <x:c r="B13" s="10" t="str">
        <x:v>Points</x:v>
      </x:c>
      <x:c r="C13" s="10" t="str">
        <x:v>Threshold in the app</x:v>
      </x:c>
      <x:c r="D13" s="10" t="str">
        <x:v>Observed driver</x:v>
      </x:c>
      <x:c r="E13" s="35"/>
      <x:c r="F13" s="35"/>
      <x:c r="G13" s="35"/>
      <x:c r="H13" s="35"/>
    </x:row>
    <x:row r="14">
      <x:c r="A14" s="36" t="str">
        <x:v>Base model risk</x:v>
      </x:c>
      <x:c r="B14" s="217" t="n">
        <x:f>20</x:f>
        <x:v>20</x:v>
      </x:c>
      <x:c r="C14" s="177" t="str">
        <x:v>Always 20</x:v>
      </x:c>
      <x:c r="D14" s="218" t="str">
        <x:v>Starting score</x:v>
      </x:c>
      <x:c r="E14" s="35"/>
      <x:c r="F14" s="35"/>
      <x:c r="G14" s="35"/>
      <x:c r="H14" s="35"/>
    </x:row>
    <x:row r="15">
      <x:c r="A15" s="40" t="str">
        <x:v>Debt coverage</x:v>
      </x:c>
      <x:c r="B15" s="219" t="n">
        <x:f>IF('Calculations'!B21&lt;1,25,IF('Calculations'!B21&lt;1.25,14,0))</x:f>
        <x:v>0</x:v>
      </x:c>
      <x:c r="C15" s="180" t="str">
        <x:v>25 if DSCR &lt; 1.00; 14 if &lt; 1.25</x:v>
      </x:c>
      <x:c r="D15" s="220" t="n">
        <x:f>'Calculations'!B21</x:f>
        <x:v>1.7209476300645534</x:v>
      </x:c>
      <x:c r="E15" s="35"/>
      <x:c r="F15" s="35"/>
      <x:c r="G15" s="35"/>
      <x:c r="H15" s="35"/>
    </x:row>
    <x:row r="16">
      <x:c r="A16" s="40" t="str">
        <x:v>Cash after owner</x:v>
      </x:c>
      <x:c r="B16" s="219" t="n">
        <x:f>IF('Calculations'!B20&lt;0,25,IF('Calculations'!B20&lt;'Inputs'!B14*0.25,12,0))</x:f>
        <x:v>0</x:v>
      </x:c>
      <x:c r="C16" s="180" t="str">
        <x:v>25 if negative; 12 if &lt; 25% of salary</x:v>
      </x:c>
      <x:c r="D16" s="221" t="n">
        <x:f>'Calculations'!B20</x:f>
        <x:v>123582.81399943912</x:v>
      </x:c>
      <x:c r="E16" s="35"/>
      <x:c r="F16" s="35"/>
      <x:c r="G16" s="35"/>
      <x:c r="H16" s="35"/>
    </x:row>
    <x:row r="17">
      <x:c r="A17" s="40" t="str">
        <x:v>Price multiple</x:v>
      </x:c>
      <x:c r="B17" s="219" t="n">
        <x:f>IF('Calculations'!B22&gt;6,15,IF('Calculations'!B22&gt;4.5,8,0))</x:f>
        <x:v>0</x:v>
      </x:c>
      <x:c r="C17" s="180" t="str">
        <x:v>15 if &gt; 6.0x; 8 if &gt; 4.5x</x:v>
      </x:c>
      <x:c r="D17" s="220" t="n">
        <x:f>'Calculations'!B22</x:f>
        <x:v>2.6666666666666665</x:v>
      </x:c>
      <x:c r="E17" s="35"/>
      <x:c r="F17" s="35"/>
      <x:c r="G17" s="35"/>
      <x:c r="H17" s="35"/>
    </x:row>
    <x:row r="18">
      <x:c r="A18" s="40" t="str">
        <x:v>Customer concentration</x:v>
      </x:c>
      <x:c r="B18" s="219" t="n">
        <x:f>IF('Inputs'!B24&gt;0.3,12,IF('Inputs'!B24&gt;0.2,6,0))</x:f>
        <x:v>0</x:v>
      </x:c>
      <x:c r="C18" s="180" t="str">
        <x:v>12 if &gt; 30%; 6 if &gt; 20%</x:v>
      </x:c>
      <x:c r="D18" s="222" t="n">
        <x:f>'Inputs'!B24</x:f>
        <x:v>0.18</x:v>
      </x:c>
      <x:c r="E18" s="35"/>
      <x:c r="F18" s="35"/>
      <x:c r="G18" s="35"/>
      <x:c r="H18" s="35"/>
    </x:row>
    <x:row r="19">
      <x:c r="A19" s="40" t="str">
        <x:v>Owner dependence</x:v>
      </x:c>
      <x:c r="B19" s="219" t="n">
        <x:f>'Inputs'!B25*12</x:f>
        <x:v>6.6000000000000005</x:v>
      </x:c>
      <x:c r="C19" s="180" t="str">
        <x:v>Owner dependence × 12</x:v>
      </x:c>
      <x:c r="D19" s="222" t="n">
        <x:f>'Inputs'!B25</x:f>
        <x:v>0.55</x:v>
      </x:c>
      <x:c r="E19" s="35"/>
      <x:c r="F19" s="35"/>
      <x:c r="G19" s="35"/>
      <x:c r="H19" s="35"/>
    </x:row>
    <x:row r="20">
      <x:c r="A20" s="40" t="str">
        <x:v>Add-back reliance</x:v>
      </x:c>
      <x:c r="B20" s="219" t="n">
        <x:f>IF('Inputs'!B12/MAX(1,'Calculations'!B8)&gt;0.3,8,0)</x:f>
        <x:v>0</x:v>
      </x:c>
      <x:c r="C20" s="180" t="str">
        <x:v>8 if claimed add-backs &gt; 30% of normalized EBITDA</x:v>
      </x:c>
      <x:c r="D20" s="222" t="n">
        <x:f>'Inputs'!B12/MAX(1,'Calculations'!B8)</x:f>
        <x:v>0.2</x:v>
      </x:c>
      <x:c r="E20" s="35"/>
      <x:c r="F20" s="35"/>
      <x:c r="G20" s="35"/>
      <x:c r="H20" s="35"/>
    </x:row>
    <x:row r="21">
      <x:c r="A21" s="40" t="str">
        <x:v>Revenue decline</x:v>
      </x:c>
      <x:c r="B21" s="219" t="n">
        <x:f>IF('Inputs'!B23&lt;0,8,0)</x:f>
        <x:v>0</x:v>
      </x:c>
      <x:c r="C21" s="180" t="str">
        <x:v>8 if revenue growth is negative</x:v>
      </x:c>
      <x:c r="D21" s="222" t="n">
        <x:f>'Inputs'!B23</x:f>
        <x:v>0.03</x:v>
      </x:c>
      <x:c r="E21" s="35"/>
      <x:c r="F21" s="35"/>
      <x:c r="G21" s="35"/>
      <x:c r="H21" s="35"/>
    </x:row>
    <x:row r="22">
      <x:c r="A22" s="40" t="str">
        <x:v>Missing core inputs</x:v>
      </x:c>
      <x:c r="B22" s="219" t="n">
        <x:f>(1-'Calculations'!B30)*18</x:f>
        <x:v>0</x:v>
      </x:c>
      <x:c r="C22" s="180" t="str">
        <x:v>18 × missing percentage</x:v>
      </x:c>
      <x:c r="D22" s="222" t="n">
        <x:f>'Calculations'!B30</x:f>
        <x:v>1</x:v>
      </x:c>
      <x:c r="E22" s="35"/>
      <x:c r="F22" s="35"/>
      <x:c r="G22" s="35"/>
      <x:c r="H22" s="35"/>
    </x:row>
    <x:row r="23">
      <x:c r="A23" s="191" t="str">
        <x:v>Total risk</x:v>
      </x:c>
      <x:c r="B23" s="223" t="n">
        <x:f>MIN(100,MAX(0,SUM(B14:B22)))</x:f>
        <x:v>26.6</x:v>
      </x:c>
      <x:c r="C23" s="224" t="str">
        <x:v>Sum, constrained to 0–100</x:v>
      </x:c>
      <x:c r="D23" s="225" t="str"/>
      <x:c r="E23" s="35"/>
      <x:c r="F23" s="35"/>
      <x:c r="G23" s="35"/>
      <x:c r="H23" s="35"/>
    </x:row>
    <x:row r="24">
      <x:c r="A24" s="191" t="str">
        <x:v>ROIC score adjustment</x:v>
      </x:c>
      <x:c r="B24" s="223" t="n">
        <x:f>MIN(20,MAX(-20,'Calculations'!B29*100)*0.35)</x:f>
        <x:v>8.764738581520506</x:v>
      </x:c>
      <x:c r="C24" s="224" t="str">
        <x:v>35% of ROIC points; capped at +20 / floored at −7</x:v>
      </x:c>
      <x:c r="D24" s="226" t="n">
        <x:f>'Calculations'!B29</x:f>
        <x:v>0.2504211023291573</x:v>
      </x:c>
      <x:c r="E24" s="35"/>
      <x:c r="F24" s="35"/>
      <x:c r="G24" s="35"/>
      <x:c r="H24" s="35"/>
    </x:row>
    <x:row r="25">
      <x:c r="A25" s="191" t="str">
        <x:v>Final viability</x:v>
      </x:c>
      <x:c r="B25" s="223" t="n">
        <x:f>MIN(100,MAX(0,100-B23+B24))</x:f>
        <x:v>82.16473858152051</x:v>
      </x:c>
      <x:c r="C25" s="224" t="str">
        <x:v>100 − risk + ROIC adjustment; constrained 0–100</x:v>
      </x:c>
      <x:c r="D25" s="227" t="str"/>
      <x:c r="E25" s="35"/>
      <x:c r="F25" s="35"/>
      <x:c r="G25" s="35"/>
      <x:c r="H25" s="35"/>
    </x:row>
    <x:row r="26">
      <x:c r="A26" s="228" t="str">
        <x:v>Verdict</x:v>
      </x:c>
      <x:c r="B26" s="229" t="str">
        <x:f>IF(B25&gt;=75,"Promising—proceed to professional diligence",IF(B25&gt;=55,"Possible, but material questions remain",IF(B25&gt;=35,"High-risk without a lower price or stronger evidence","The current structure does not appear financially viable")))</x:f>
        <x:v>Promising—proceed to professional diligence</x:v>
      </x:c>
      <x:c r="C26" s="230" t="str">
        <x:v>≥75 promising; ≥55 possible; ≥35 high risk; otherwise not viable</x:v>
      </x:c>
      <x:c r="D26" s="231" t="str"/>
      <x:c r="E26" s="35"/>
      <x:c r="F26" s="35"/>
      <x:c r="G26" s="35"/>
      <x:c r="H26" s="35"/>
    </x:row>
  </x:sheetData>
  <x:mergeCells>
    <x:mergeCell ref="A1:H2"/>
    <x:mergeCell ref="A3:H3"/>
    <x:mergeCell ref="A5:H5"/>
    <x:mergeCell ref="A12:D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</x:cols>
  <x:sheetData>
    <x:row r="1" ht="28" customHeight="1">
      <x:c r="A1" s="3" t="str">
        <x:v>Affinity · Model Checks</x:v>
      </x:c>
      <x:c r="B1" s="3"/>
      <x:c r="C1" s="3"/>
      <x:c r="D1" s="3"/>
      <x:c r="E1" s="3"/>
      <x:c r="F1" s="3"/>
    </x:row>
    <x:row r="2" ht="22" customHeight="1">
      <x:c r="A2" s="3"/>
      <x:c r="B2" s="3"/>
      <x:c r="C2" s="3"/>
      <x:c r="D2" s="3"/>
      <x:c r="E2" s="3"/>
      <x:c r="F2" s="3"/>
    </x:row>
    <x:row r="3" ht="34" customHeight="1">
      <x:c r="A3" s="34" t="str">
        <x:v>Regression checks prove the workbook matches the app's default test case. Structural checks remain valid when assumptions change.</x:v>
      </x:c>
      <x:c r="B3" s="34"/>
      <x:c r="C3" s="34"/>
      <x:c r="D3" s="34"/>
      <x:c r="E3" s="34"/>
      <x:c r="F3" s="34"/>
    </x:row>
    <x:row r="4">
      <x:c r="A4" s="35"/>
      <x:c r="B4" s="35"/>
      <x:c r="C4" s="35"/>
      <x:c r="D4" s="35"/>
      <x:c r="E4" s="35"/>
      <x:c r="F4" s="35"/>
    </x:row>
    <x:row r="5">
      <x:c r="A5" s="10" t="str">
        <x:v>Check</x:v>
      </x:c>
      <x:c r="B5" s="10" t="str">
        <x:v>Actual</x:v>
      </x:c>
      <x:c r="C5" s="10" t="str">
        <x:v>Expected</x:v>
      </x:c>
      <x:c r="D5" s="10" t="str">
        <x:v>Difference</x:v>
      </x:c>
      <x:c r="E5" s="10" t="str">
        <x:v>Tolerance</x:v>
      </x:c>
      <x:c r="F5" s="10" t="str">
        <x:v>Status</x:v>
      </x:c>
    </x:row>
    <x:row r="6">
      <x:c r="A6" s="36" t="str">
        <x:v>Default normalized EBITDA</x:v>
      </x:c>
      <x:c r="B6" s="232" t="n">
        <x:f>'Calculations'!B8</x:f>
        <x:v>450000</x:v>
      </x:c>
      <x:c r="C6" s="217" t="n">
        <x:v>450000</x:v>
      </x:c>
      <x:c r="D6" s="217" t="n">
        <x:f>B6-C6</x:f>
        <x:v>0</x:v>
      </x:c>
      <x:c r="E6" s="217" t="n">
        <x:v>0.01</x:v>
      </x:c>
      <x:c r="F6" s="218" t="str">
        <x:f>IF(ABS(D6)&lt;=E6,"OK","CHECK")</x:f>
        <x:v>OK</x:v>
      </x:c>
    </x:row>
    <x:row r="7">
      <x:c r="A7" s="40" t="str">
        <x:v>Default total acquisition cost</x:v>
      </x:c>
      <x:c r="B7" s="233" t="n">
        <x:f>'Calculations'!B12</x:f>
        <x:v>1410000</x:v>
      </x:c>
      <x:c r="C7" s="219" t="n">
        <x:v>1410000</x:v>
      </x:c>
      <x:c r="D7" s="219" t="n">
        <x:f>B7-C7</x:f>
        <x:v>0</x:v>
      </x:c>
      <x:c r="E7" s="219" t="n">
        <x:v>0.01</x:v>
      </x:c>
      <x:c r="F7" s="234" t="str">
        <x:f>IF(ABS(D7)&lt;=E7,"OK","CHECK")</x:f>
        <x:v>OK</x:v>
      </x:c>
    </x:row>
    <x:row r="8">
      <x:c r="A8" s="40" t="str">
        <x:v>Default annual debt service</x:v>
      </x:c>
      <x:c r="B8" s="233" t="n">
        <x:f>'Calculations'!B17</x:f>
        <x:v>171417.18600056088</x:v>
      </x:c>
      <x:c r="C8" s="219" t="n">
        <x:v>171417.18600056088</x:v>
      </x:c>
      <x:c r="D8" s="219" t="n">
        <x:f>B8-C8</x:f>
        <x:v>0</x:v>
      </x:c>
      <x:c r="E8" s="219" t="n">
        <x:v>1</x:v>
      </x:c>
      <x:c r="F8" s="234" t="str">
        <x:f>IF(ABS(D8)&lt;=E8,"OK","CHECK")</x:f>
        <x:v>OK</x:v>
      </x:c>
    </x:row>
    <x:row r="9">
      <x:c r="A9" s="40" t="str">
        <x:v>Default cash after owner</x:v>
      </x:c>
      <x:c r="B9" s="233" t="n">
        <x:f>'Calculations'!B20</x:f>
        <x:v>123582.81399943912</x:v>
      </x:c>
      <x:c r="C9" s="219" t="n">
        <x:v>123582.81399943912</x:v>
      </x:c>
      <x:c r="D9" s="219" t="n">
        <x:f>B9-C9</x:f>
        <x:v>0</x:v>
      </x:c>
      <x:c r="E9" s="219" t="n">
        <x:v>1</x:v>
      </x:c>
      <x:c r="F9" s="234" t="str">
        <x:f>IF(ABS(D9)&lt;=E9,"OK","CHECK")</x:f>
        <x:v>OK</x:v>
      </x:c>
    </x:row>
    <x:row r="10">
      <x:c r="A10" s="40" t="str">
        <x:v>Default DSCR</x:v>
      </x:c>
      <x:c r="B10" s="233" t="n">
        <x:f>'Calculations'!B21</x:f>
        <x:v>1.7209476300645534</x:v>
      </x:c>
      <x:c r="C10" s="219" t="n">
        <x:v>1.7209476300645534</x:v>
      </x:c>
      <x:c r="D10" s="219" t="n">
        <x:f>B10-C10</x:f>
        <x:v>0</x:v>
      </x:c>
      <x:c r="E10" s="219" t="n">
        <x:v>0.0001</x:v>
      </x:c>
      <x:c r="F10" s="234" t="str">
        <x:f>IF(ABS(D10)&lt;=E10,"OK","CHECK")</x:f>
        <x:v>OK</x:v>
      </x:c>
    </x:row>
    <x:row r="11">
      <x:c r="A11" s="40" t="str">
        <x:v>Default risk score</x:v>
      </x:c>
      <x:c r="B11" s="233" t="n">
        <x:f>'Scenarios &amp; Risk'!B23</x:f>
        <x:v>26.6</x:v>
      </x:c>
      <x:c r="C11" s="219" t="n">
        <x:v>26.6</x:v>
      </x:c>
      <x:c r="D11" s="219" t="n">
        <x:f>B11-C11</x:f>
        <x:v>0</x:v>
      </x:c>
      <x:c r="E11" s="219" t="n">
        <x:v>0.0001</x:v>
      </x:c>
      <x:c r="F11" s="234" t="str">
        <x:f>IF(ABS(D11)&lt;=E11,"OK","CHECK")</x:f>
        <x:v>OK</x:v>
      </x:c>
    </x:row>
    <x:row r="12">
      <x:c r="A12" s="40" t="str">
        <x:v>Default viability score</x:v>
      </x:c>
      <x:c r="B12" s="233" t="n">
        <x:f>'Scenarios &amp; Risk'!B25</x:f>
        <x:v>82.16473858152051</x:v>
      </x:c>
      <x:c r="C12" s="219" t="n">
        <x:v>82.16473858152051</x:v>
      </x:c>
      <x:c r="D12" s="219" t="n">
        <x:f>B12-C12</x:f>
        <x:v>0</x:v>
      </x:c>
      <x:c r="E12" s="219" t="n">
        <x:v>0.0001</x:v>
      </x:c>
      <x:c r="F12" s="234" t="str">
        <x:f>IF(ABS(D12)&lt;=E12,"OK","CHECK")</x:f>
        <x:v>OK</x:v>
      </x:c>
    </x:row>
    <x:row r="13">
      <x:c r="A13" s="40" t="str">
        <x:v>Financing bridge</x:v>
      </x:c>
      <x:c r="B13" s="233" t="n">
        <x:f>'Calculations'!B13+'Calculations'!B14-'Calculations'!B12</x:f>
        <x:v>0</x:v>
      </x:c>
      <x:c r="C13" s="219" t="n">
        <x:v>0</x:v>
      </x:c>
      <x:c r="D13" s="219" t="n">
        <x:f>B13-C13</x:f>
        <x:v>0</x:v>
      </x:c>
      <x:c r="E13" s="219" t="n">
        <x:v>0.01</x:v>
      </x:c>
      <x:c r="F13" s="234" t="str">
        <x:f>IF(ABS(D13)&lt;=E13,"OK","CHECK")</x:f>
        <x:v>OK</x:v>
      </x:c>
    </x:row>
    <x:row r="14">
      <x:c r="A14" s="40" t="str">
        <x:v>Cash-flow bridge</x:v>
      </x:c>
      <x:c r="B14" s="233" t="n">
        <x:f>'Calculations'!B8-'Inputs'!B15-'Inputs'!B14-'Calculations'!B17-'Calculations'!B20</x:f>
        <x:v>0</x:v>
      </x:c>
      <x:c r="C14" s="219" t="n">
        <x:v>0</x:v>
      </x:c>
      <x:c r="D14" s="219" t="n">
        <x:f>B14-C14</x:f>
        <x:v>0</x:v>
      </x:c>
      <x:c r="E14" s="219" t="n">
        <x:v>0.01</x:v>
      </x:c>
      <x:c r="F14" s="234" t="str">
        <x:f>IF(ABS(D14)&lt;=E14,"OK","CHECK")</x:f>
        <x:v>OK</x:v>
      </x:c>
    </x:row>
    <x:row r="15">
      <x:c r="A15" s="40" t="str">
        <x:v>Risk component sum</x:v>
      </x:c>
      <x:c r="B15" s="233" t="n">
        <x:f>'Scenarios &amp; Risk'!B23-MIN(100,MAX(0,SUM('Scenarios &amp; Risk'!B14:B22)))</x:f>
        <x:v>0</x:v>
      </x:c>
      <x:c r="C15" s="219" t="n">
        <x:v>0</x:v>
      </x:c>
      <x:c r="D15" s="219" t="n">
        <x:f>B15-C15</x:f>
        <x:v>0</x:v>
      </x:c>
      <x:c r="E15" s="219" t="n">
        <x:v>0.0001</x:v>
      </x:c>
      <x:c r="F15" s="234" t="str">
        <x:f>IF(ABS(D15)&lt;=E15,"OK","CHECK")</x:f>
        <x:v>OK</x:v>
      </x:c>
    </x:row>
    <x:row r="16">
      <x:c r="A16" s="47" t="str">
        <x:v>Scenario ordering</x:v>
      </x:c>
      <x:c r="B16" s="235" t="n">
        <x:f>IF(AND('Scenarios &amp; Risk'!F7&lt;'Scenarios &amp; Risk'!F8,'Scenarios &amp; Risk'!F8&lt;'Scenarios &amp; Risk'!F9),1,0)</x:f>
        <x:v>1</x:v>
      </x:c>
      <x:c r="C16" s="236" t="n">
        <x:v>1</x:v>
      </x:c>
      <x:c r="D16" s="236" t="n">
        <x:f>B16-C16</x:f>
        <x:v>0</x:v>
      </x:c>
      <x:c r="E16" s="236" t="n">
        <x:v>0</x:v>
      </x:c>
      <x:c r="F16" s="237" t="str">
        <x:f>IF(ABS(D16)&lt;=E16,"OK","CHECK")</x:f>
        <x:v>OK</x:v>
      </x:c>
    </x:row>
    <x:row r="17">
      <x:c r="A17" s="35"/>
      <x:c r="B17" s="35"/>
      <x:c r="C17" s="35"/>
      <x:c r="D17" s="35"/>
      <x:c r="E17" s="35"/>
      <x:c r="F17" s="35"/>
    </x:row>
    <x:row r="18">
      <x:c r="A18" s="35"/>
      <x:c r="B18" s="35"/>
      <x:c r="C18" s="35"/>
      <x:c r="D18" s="35"/>
      <x:c r="E18" s="35"/>
      <x:c r="F18" s="35"/>
    </x:row>
    <x:row r="19">
      <x:c r="A19" s="238" t="str">
        <x:v>OVERALL MODEL STATUS</x:v>
      </x:c>
      <x:c r="B19" s="239"/>
      <x:c r="C19" s="239"/>
      <x:c r="D19" s="239"/>
      <x:c r="E19" s="239"/>
      <x:c r="F19" s="240" t="str">
        <x:f>IF(COUNTIF(F6:F16,"CHECK")=0,"OK","CHECK")</x:f>
        <x:v>OK</x:v>
      </x:c>
    </x:row>
  </x:sheetData>
  <x:mergeCells>
    <x:mergeCell ref="A1:F2"/>
    <x:mergeCell ref="A3:F3"/>
    <x:mergeCell ref="A19:E19"/>
  </x:mergeCells>
  <x:conditionalFormatting sqref="F6:F16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